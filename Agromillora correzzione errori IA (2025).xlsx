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gi_Cadriano\Documents\IVAN ANSALONI CADRIANO\AGROMILLORA 2025 IVAN\"/>
    </mc:Choice>
  </mc:AlternateContent>
  <xr:revisionPtr revIDLastSave="0" documentId="13_ncr:1_{F1E72E4B-BB0F-401C-BF95-24EB4EB3EC0D}" xr6:coauthVersionLast="47" xr6:coauthVersionMax="47" xr10:uidLastSave="{00000000-0000-0000-0000-000000000000}"/>
  <bookViews>
    <workbookView xWindow="-108" yWindow="-108" windowWidth="23256" windowHeight="12456" firstSheet="1" activeTab="1" xr2:uid="{AB84EB46-14B9-4AD5-B8D5-17A76BBECE0A}"/>
  </bookViews>
  <sheets>
    <sheet name="Facsimile" sheetId="7" r:id="rId1"/>
    <sheet name="all_data" sheetId="1" r:id="rId2"/>
    <sheet name="fruit_quality" sheetId="3" r:id="rId3"/>
    <sheet name="time (pruning, thinning, tying)" sheetId="5" r:id="rId4"/>
    <sheet name="pruning weight (2024)" sheetId="6" r:id="rId5"/>
    <sheet name="light_interception" sheetId="4" r:id="rId6"/>
  </sheets>
  <definedNames>
    <definedName name="_xlnm._FilterDatabase" localSheetId="1" hidden="1">all_data!$A$2:$AJ$163</definedName>
    <definedName name="_xlnm._FilterDatabase" localSheetId="4" hidden="1">'pruning weight (2024)'!$B$2:$F$134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1" l="1"/>
  <c r="Z78" i="1" s="1"/>
  <c r="Q77" i="1"/>
  <c r="R77" i="1"/>
  <c r="P74" i="1"/>
  <c r="Z74" i="1" s="1"/>
  <c r="P73" i="1"/>
  <c r="Q73" i="1"/>
  <c r="R73" i="1"/>
  <c r="P61" i="1"/>
  <c r="Z61" i="1" s="1"/>
  <c r="Q60" i="1"/>
  <c r="R60" i="1"/>
  <c r="P12" i="1"/>
  <c r="AE12" i="1" s="1"/>
  <c r="P5" i="1"/>
  <c r="Z5" i="1" s="1"/>
  <c r="Z4" i="4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" i="3"/>
  <c r="AE5" i="1" l="1"/>
  <c r="AE61" i="1"/>
  <c r="AE78" i="1"/>
  <c r="Z12" i="1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4" i="4"/>
  <c r="AD4" i="1"/>
  <c r="X102" i="1"/>
  <c r="X103" i="1"/>
  <c r="X104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2" i="1"/>
  <c r="X123" i="1"/>
  <c r="X125" i="1"/>
  <c r="X126" i="1"/>
  <c r="X127" i="1"/>
  <c r="X128" i="1"/>
  <c r="X129" i="1"/>
  <c r="X130" i="1"/>
  <c r="X131" i="1"/>
  <c r="X132" i="1"/>
  <c r="X133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8" i="1"/>
  <c r="X159" i="1"/>
  <c r="X160" i="1"/>
  <c r="X161" i="1"/>
  <c r="X101" i="1"/>
  <c r="X70" i="1"/>
  <c r="X74" i="1"/>
  <c r="X75" i="1"/>
  <c r="X76" i="1"/>
  <c r="X79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9" i="1"/>
  <c r="X100" i="1"/>
  <c r="X69" i="1"/>
  <c r="X26" i="1"/>
  <c r="X27" i="1"/>
  <c r="X28" i="1"/>
  <c r="X29" i="1"/>
  <c r="X30" i="1"/>
  <c r="X31" i="1"/>
  <c r="X33" i="1"/>
  <c r="X34" i="1"/>
  <c r="X35" i="1"/>
  <c r="X36" i="1"/>
  <c r="X37" i="1"/>
  <c r="X38" i="1"/>
  <c r="X39" i="1"/>
  <c r="X40" i="1"/>
  <c r="X41" i="1"/>
  <c r="X42" i="1"/>
  <c r="X44" i="1"/>
  <c r="X45" i="1"/>
  <c r="X46" i="1"/>
  <c r="X47" i="1"/>
  <c r="X48" i="1"/>
  <c r="X49" i="1"/>
  <c r="X50" i="1"/>
  <c r="X51" i="1"/>
  <c r="X52" i="1"/>
  <c r="X53" i="1"/>
  <c r="X55" i="1"/>
  <c r="X57" i="1"/>
  <c r="X58" i="1"/>
  <c r="X59" i="1"/>
  <c r="X62" i="1"/>
  <c r="X63" i="1"/>
  <c r="X64" i="1"/>
  <c r="X65" i="1"/>
  <c r="X66" i="1"/>
  <c r="X67" i="1"/>
  <c r="X68" i="1"/>
  <c r="X25" i="1"/>
  <c r="X4" i="1"/>
  <c r="X6" i="1"/>
  <c r="X7" i="1"/>
  <c r="X8" i="1"/>
  <c r="X9" i="1"/>
  <c r="X10" i="1"/>
  <c r="X11" i="1"/>
  <c r="X13" i="1"/>
  <c r="X14" i="1"/>
  <c r="X15" i="1"/>
  <c r="X16" i="1"/>
  <c r="X17" i="1"/>
  <c r="X19" i="1"/>
  <c r="X20" i="1"/>
  <c r="X21" i="1"/>
  <c r="X22" i="1"/>
  <c r="X23" i="1"/>
  <c r="X24" i="1"/>
  <c r="X3" i="1"/>
  <c r="O6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3" i="1"/>
  <c r="O34" i="1"/>
  <c r="O35" i="1"/>
  <c r="O36" i="1"/>
  <c r="O37" i="1"/>
  <c r="O38" i="1"/>
  <c r="O39" i="1"/>
  <c r="O40" i="1"/>
  <c r="O41" i="1"/>
  <c r="O42" i="1"/>
  <c r="O44" i="1"/>
  <c r="O45" i="1"/>
  <c r="O46" i="1"/>
  <c r="O47" i="1"/>
  <c r="O48" i="1"/>
  <c r="O49" i="1"/>
  <c r="O50" i="1"/>
  <c r="O51" i="1"/>
  <c r="O52" i="1"/>
  <c r="O53" i="1"/>
  <c r="O54" i="1"/>
  <c r="O55" i="1"/>
  <c r="O57" i="1"/>
  <c r="O58" i="1"/>
  <c r="O59" i="1"/>
  <c r="O60" i="1"/>
  <c r="O62" i="1"/>
  <c r="O63" i="1"/>
  <c r="O64" i="1"/>
  <c r="O65" i="1"/>
  <c r="O66" i="1"/>
  <c r="O67" i="1"/>
  <c r="O68" i="1"/>
  <c r="O69" i="1"/>
  <c r="O70" i="1"/>
  <c r="O71" i="1"/>
  <c r="O72" i="1"/>
  <c r="O73" i="1"/>
  <c r="O75" i="1"/>
  <c r="O76" i="1"/>
  <c r="O77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4" i="1"/>
  <c r="P4" i="1"/>
  <c r="P6" i="1"/>
  <c r="AE6" i="1" s="1"/>
  <c r="P7" i="1"/>
  <c r="AE7" i="1" s="1"/>
  <c r="P8" i="1"/>
  <c r="AE8" i="1" s="1"/>
  <c r="P9" i="1"/>
  <c r="Q9" i="1" s="1"/>
  <c r="P10" i="1"/>
  <c r="Q10" i="1" s="1"/>
  <c r="P11" i="1"/>
  <c r="AE11" i="1" s="1"/>
  <c r="P13" i="1"/>
  <c r="AE13" i="1" s="1"/>
  <c r="P14" i="1"/>
  <c r="Q14" i="1" s="1"/>
  <c r="P15" i="1"/>
  <c r="AE15" i="1" s="1"/>
  <c r="P16" i="1"/>
  <c r="AE16" i="1" s="1"/>
  <c r="P17" i="1"/>
  <c r="AE17" i="1" s="1"/>
  <c r="P18" i="1"/>
  <c r="Q18" i="1" s="1"/>
  <c r="P19" i="1"/>
  <c r="AE19" i="1" s="1"/>
  <c r="P20" i="1"/>
  <c r="AE20" i="1" s="1"/>
  <c r="P21" i="1"/>
  <c r="AE21" i="1" s="1"/>
  <c r="P22" i="1"/>
  <c r="Q22" i="1" s="1"/>
  <c r="P23" i="1"/>
  <c r="AE23" i="1" s="1"/>
  <c r="P24" i="1"/>
  <c r="AE24" i="1" s="1"/>
  <c r="P25" i="1"/>
  <c r="Q25" i="1" s="1"/>
  <c r="P26" i="1"/>
  <c r="Q26" i="1" s="1"/>
  <c r="P27" i="1"/>
  <c r="AE27" i="1" s="1"/>
  <c r="P28" i="1"/>
  <c r="AE28" i="1" s="1"/>
  <c r="P29" i="1"/>
  <c r="Q29" i="1" s="1"/>
  <c r="P30" i="1"/>
  <c r="Q30" i="1" s="1"/>
  <c r="P31" i="1"/>
  <c r="AE31" i="1" s="1"/>
  <c r="P33" i="1"/>
  <c r="AE33" i="1" s="1"/>
  <c r="P34" i="1"/>
  <c r="Q34" i="1" s="1"/>
  <c r="P35" i="1"/>
  <c r="Q35" i="1" s="1"/>
  <c r="P36" i="1"/>
  <c r="Q36" i="1" s="1"/>
  <c r="P37" i="1"/>
  <c r="AE37" i="1" s="1"/>
  <c r="P38" i="1"/>
  <c r="Q38" i="1" s="1"/>
  <c r="P39" i="1"/>
  <c r="Q39" i="1" s="1"/>
  <c r="P40" i="1"/>
  <c r="AE40" i="1" s="1"/>
  <c r="P41" i="1"/>
  <c r="AE41" i="1" s="1"/>
  <c r="P42" i="1"/>
  <c r="AE42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AE50" i="1" s="1"/>
  <c r="P51" i="1"/>
  <c r="AE51" i="1" s="1"/>
  <c r="P52" i="1"/>
  <c r="Q52" i="1" s="1"/>
  <c r="P53" i="1"/>
  <c r="Q53" i="1" s="1"/>
  <c r="P54" i="1"/>
  <c r="Q54" i="1" s="1"/>
  <c r="P55" i="1"/>
  <c r="Q55" i="1" s="1"/>
  <c r="P57" i="1"/>
  <c r="AE57" i="1" s="1"/>
  <c r="P58" i="1"/>
  <c r="AE58" i="1" s="1"/>
  <c r="P59" i="1"/>
  <c r="Q59" i="1" s="1"/>
  <c r="P60" i="1"/>
  <c r="P62" i="1"/>
  <c r="Q62" i="1" s="1"/>
  <c r="P63" i="1"/>
  <c r="AE63" i="1" s="1"/>
  <c r="P64" i="1"/>
  <c r="Q64" i="1" s="1"/>
  <c r="P65" i="1"/>
  <c r="AE65" i="1" s="1"/>
  <c r="P66" i="1"/>
  <c r="Q66" i="1" s="1"/>
  <c r="P67" i="1"/>
  <c r="AE67" i="1" s="1"/>
  <c r="P68" i="1"/>
  <c r="Q68" i="1" s="1"/>
  <c r="P69" i="1"/>
  <c r="Q69" i="1" s="1"/>
  <c r="P70" i="1"/>
  <c r="AE70" i="1" s="1"/>
  <c r="P71" i="1"/>
  <c r="AE71" i="1" s="1"/>
  <c r="P72" i="1"/>
  <c r="AE72" i="1" s="1"/>
  <c r="P75" i="1"/>
  <c r="P76" i="1"/>
  <c r="AE76" i="1" s="1"/>
  <c r="P77" i="1"/>
  <c r="AE77" i="1" s="1"/>
  <c r="P79" i="1"/>
  <c r="AE79" i="1" s="1"/>
  <c r="P80" i="1"/>
  <c r="P81" i="1"/>
  <c r="AE81" i="1" s="1"/>
  <c r="P82" i="1"/>
  <c r="AE82" i="1" s="1"/>
  <c r="P83" i="1"/>
  <c r="AE83" i="1" s="1"/>
  <c r="P84" i="1"/>
  <c r="P85" i="1"/>
  <c r="AE85" i="1" s="1"/>
  <c r="P86" i="1"/>
  <c r="AE86" i="1" s="1"/>
  <c r="P87" i="1"/>
  <c r="AE87" i="1" s="1"/>
  <c r="P88" i="1"/>
  <c r="P89" i="1"/>
  <c r="AE89" i="1" s="1"/>
  <c r="P90" i="1"/>
  <c r="AE90" i="1" s="1"/>
  <c r="P91" i="1"/>
  <c r="AE91" i="1" s="1"/>
  <c r="P92" i="1"/>
  <c r="P93" i="1"/>
  <c r="AE93" i="1" s="1"/>
  <c r="P94" i="1"/>
  <c r="AE94" i="1" s="1"/>
  <c r="P95" i="1"/>
  <c r="AE95" i="1" s="1"/>
  <c r="P96" i="1"/>
  <c r="P99" i="1"/>
  <c r="AE99" i="1" s="1"/>
  <c r="P100" i="1"/>
  <c r="AE100" i="1" s="1"/>
  <c r="P101" i="1"/>
  <c r="AE101" i="1" s="1"/>
  <c r="P102" i="1"/>
  <c r="Z102" i="1" s="1"/>
  <c r="P103" i="1"/>
  <c r="AE103" i="1" s="1"/>
  <c r="P104" i="1"/>
  <c r="P105" i="1"/>
  <c r="P106" i="1"/>
  <c r="P107" i="1"/>
  <c r="AE107" i="1" s="1"/>
  <c r="P108" i="1"/>
  <c r="AE108" i="1" s="1"/>
  <c r="P109" i="1"/>
  <c r="P110" i="1"/>
  <c r="P111" i="1"/>
  <c r="P112" i="1"/>
  <c r="P113" i="1"/>
  <c r="P114" i="1"/>
  <c r="P115" i="1"/>
  <c r="AE115" i="1" s="1"/>
  <c r="P116" i="1"/>
  <c r="P117" i="1"/>
  <c r="AE117" i="1" s="1"/>
  <c r="P118" i="1"/>
  <c r="P119" i="1"/>
  <c r="P120" i="1"/>
  <c r="Z120" i="1" s="1"/>
  <c r="P121" i="1"/>
  <c r="AE121" i="1" s="1"/>
  <c r="P122" i="1"/>
  <c r="AE122" i="1" s="1"/>
  <c r="P123" i="1"/>
  <c r="P124" i="1"/>
  <c r="P125" i="1"/>
  <c r="AE125" i="1" s="1"/>
  <c r="P126" i="1"/>
  <c r="Z126" i="1" s="1"/>
  <c r="P127" i="1"/>
  <c r="AE127" i="1" s="1"/>
  <c r="P128" i="1"/>
  <c r="P129" i="1"/>
  <c r="P130" i="1"/>
  <c r="P131" i="1"/>
  <c r="P132" i="1"/>
  <c r="P133" i="1"/>
  <c r="AE133" i="1" s="1"/>
  <c r="P134" i="1"/>
  <c r="Z134" i="1" s="1"/>
  <c r="P135" i="1"/>
  <c r="AE135" i="1" s="1"/>
  <c r="P136" i="1"/>
  <c r="P137" i="1"/>
  <c r="P138" i="1"/>
  <c r="Z138" i="1" s="1"/>
  <c r="P139" i="1"/>
  <c r="AE139" i="1" s="1"/>
  <c r="P140" i="1"/>
  <c r="AE140" i="1" s="1"/>
  <c r="P141" i="1"/>
  <c r="P142" i="1"/>
  <c r="P143" i="1"/>
  <c r="P144" i="1"/>
  <c r="Z144" i="1" s="1"/>
  <c r="P145" i="1"/>
  <c r="AE145" i="1" s="1"/>
  <c r="P146" i="1"/>
  <c r="AE146" i="1" s="1"/>
  <c r="P147" i="1"/>
  <c r="P148" i="1"/>
  <c r="P149" i="1"/>
  <c r="P150" i="1"/>
  <c r="P151" i="1"/>
  <c r="P152" i="1"/>
  <c r="AE152" i="1" s="1"/>
  <c r="P153" i="1"/>
  <c r="P154" i="1"/>
  <c r="Z154" i="1" s="1"/>
  <c r="P155" i="1"/>
  <c r="P156" i="1"/>
  <c r="P157" i="1"/>
  <c r="AE157" i="1" s="1"/>
  <c r="P158" i="1"/>
  <c r="Z158" i="1" s="1"/>
  <c r="P159" i="1"/>
  <c r="P160" i="1"/>
  <c r="P161" i="1"/>
  <c r="P162" i="1"/>
  <c r="P163" i="1"/>
  <c r="P3" i="1"/>
  <c r="O3" i="1"/>
  <c r="Q96" i="1" l="1"/>
  <c r="Q92" i="1"/>
  <c r="Q88" i="1"/>
  <c r="Q84" i="1"/>
  <c r="Q80" i="1"/>
  <c r="Q75" i="1"/>
  <c r="V73" i="1"/>
  <c r="S73" i="1"/>
  <c r="T73" i="1"/>
  <c r="U73" i="1"/>
  <c r="T60" i="1"/>
  <c r="X60" i="1" s="1"/>
  <c r="U60" i="1"/>
  <c r="V60" i="1"/>
  <c r="S60" i="1"/>
  <c r="W60" i="1" s="1"/>
  <c r="S77" i="1"/>
  <c r="T77" i="1"/>
  <c r="U77" i="1"/>
  <c r="V77" i="1"/>
  <c r="Z52" i="1"/>
  <c r="Z35" i="1"/>
  <c r="Z125" i="1"/>
  <c r="Z21" i="1"/>
  <c r="Q3" i="1"/>
  <c r="Z101" i="1"/>
  <c r="Z51" i="1"/>
  <c r="Z17" i="1"/>
  <c r="Z91" i="1"/>
  <c r="Z8" i="1"/>
  <c r="Q4" i="1"/>
  <c r="Z83" i="1"/>
  <c r="Z22" i="1"/>
  <c r="Q28" i="1"/>
  <c r="Z108" i="1"/>
  <c r="Z94" i="1"/>
  <c r="Z86" i="1"/>
  <c r="Z77" i="1"/>
  <c r="Z37" i="1"/>
  <c r="Z11" i="1"/>
  <c r="Q163" i="1"/>
  <c r="Q159" i="1"/>
  <c r="Q155" i="1"/>
  <c r="Q151" i="1"/>
  <c r="Q147" i="1"/>
  <c r="Q143" i="1"/>
  <c r="Q131" i="1"/>
  <c r="Q123" i="1"/>
  <c r="Q119" i="1"/>
  <c r="Q111" i="1"/>
  <c r="Z152" i="1"/>
  <c r="Z72" i="1"/>
  <c r="Z16" i="1"/>
  <c r="Z100" i="1"/>
  <c r="Z90" i="1"/>
  <c r="Z82" i="1"/>
  <c r="Z68" i="1"/>
  <c r="Z50" i="1"/>
  <c r="Z33" i="1"/>
  <c r="Z20" i="1"/>
  <c r="Z14" i="1"/>
  <c r="Z7" i="1"/>
  <c r="Q108" i="1"/>
  <c r="Q37" i="1"/>
  <c r="Z140" i="1"/>
  <c r="Z117" i="1"/>
  <c r="Z95" i="1"/>
  <c r="Z87" i="1"/>
  <c r="Z79" i="1"/>
  <c r="Z62" i="1"/>
  <c r="Z48" i="1"/>
  <c r="Z24" i="1"/>
  <c r="Z18" i="1"/>
  <c r="Z13" i="1"/>
  <c r="Z159" i="1"/>
  <c r="Z135" i="1"/>
  <c r="Z40" i="1"/>
  <c r="Z27" i="1"/>
  <c r="Z107" i="1"/>
  <c r="Z71" i="1"/>
  <c r="Z67" i="1"/>
  <c r="Z58" i="1"/>
  <c r="Z44" i="1"/>
  <c r="Z39" i="1"/>
  <c r="Z26" i="1"/>
  <c r="AE69" i="1"/>
  <c r="Z157" i="1"/>
  <c r="Z146" i="1"/>
  <c r="Z139" i="1"/>
  <c r="Z133" i="1"/>
  <c r="Z122" i="1"/>
  <c r="Z115" i="1"/>
  <c r="Z103" i="1"/>
  <c r="Z99" i="1"/>
  <c r="Z93" i="1"/>
  <c r="Z89" i="1"/>
  <c r="Z85" i="1"/>
  <c r="Z81" i="1"/>
  <c r="Z76" i="1"/>
  <c r="Z70" i="1"/>
  <c r="Z65" i="1"/>
  <c r="Z57" i="1"/>
  <c r="Z42" i="1"/>
  <c r="Z31" i="1"/>
  <c r="Z6" i="1"/>
  <c r="Q160" i="1"/>
  <c r="Q156" i="1"/>
  <c r="Q148" i="1"/>
  <c r="Q144" i="1"/>
  <c r="Q136" i="1"/>
  <c r="Q132" i="1"/>
  <c r="Q128" i="1"/>
  <c r="Q124" i="1"/>
  <c r="Q120" i="1"/>
  <c r="Q116" i="1"/>
  <c r="Q112" i="1"/>
  <c r="Q104" i="1"/>
  <c r="Q100" i="1"/>
  <c r="AE68" i="1"/>
  <c r="Z4" i="1"/>
  <c r="Z155" i="1"/>
  <c r="Z145" i="1"/>
  <c r="Z127" i="1"/>
  <c r="Z121" i="1"/>
  <c r="Z111" i="1"/>
  <c r="Z96" i="1"/>
  <c r="Z92" i="1"/>
  <c r="Z88" i="1"/>
  <c r="Z84" i="1"/>
  <c r="Z80" i="1"/>
  <c r="Z73" i="1"/>
  <c r="Z69" i="1"/>
  <c r="Z63" i="1"/>
  <c r="Z53" i="1"/>
  <c r="Z49" i="1"/>
  <c r="Z41" i="1"/>
  <c r="Z36" i="1"/>
  <c r="Z28" i="1"/>
  <c r="Z23" i="1"/>
  <c r="Z19" i="1"/>
  <c r="Z15" i="1"/>
  <c r="Z9" i="1"/>
  <c r="Q140" i="1"/>
  <c r="Q72" i="1"/>
  <c r="AE144" i="1"/>
  <c r="Q162" i="1"/>
  <c r="Q154" i="1"/>
  <c r="Q142" i="1"/>
  <c r="Q134" i="1"/>
  <c r="Q126" i="1"/>
  <c r="Q118" i="1"/>
  <c r="Q110" i="1"/>
  <c r="Q102" i="1"/>
  <c r="Q161" i="1"/>
  <c r="Q153" i="1"/>
  <c r="Q149" i="1"/>
  <c r="Q145" i="1"/>
  <c r="Q141" i="1"/>
  <c r="Q137" i="1"/>
  <c r="Q129" i="1"/>
  <c r="Q113" i="1"/>
  <c r="Q109" i="1"/>
  <c r="Q105" i="1"/>
  <c r="Q90" i="1"/>
  <c r="Q20" i="1"/>
  <c r="AE120" i="1"/>
  <c r="Q158" i="1"/>
  <c r="Q150" i="1"/>
  <c r="Q138" i="1"/>
  <c r="Q130" i="1"/>
  <c r="Q114" i="1"/>
  <c r="Q106" i="1"/>
  <c r="Q11" i="1"/>
  <c r="AE88" i="1"/>
  <c r="Q121" i="1"/>
  <c r="Q95" i="1"/>
  <c r="Q87" i="1"/>
  <c r="Q79" i="1"/>
  <c r="Q51" i="1"/>
  <c r="Q42" i="1"/>
  <c r="Q17" i="1"/>
  <c r="Q8" i="1"/>
  <c r="Q152" i="1"/>
  <c r="Q94" i="1"/>
  <c r="Q86" i="1"/>
  <c r="Q50" i="1"/>
  <c r="Q41" i="1"/>
  <c r="Q33" i="1"/>
  <c r="Q24" i="1"/>
  <c r="Q16" i="1"/>
  <c r="Q7" i="1"/>
  <c r="AE138" i="1"/>
  <c r="AE102" i="1"/>
  <c r="AE92" i="1"/>
  <c r="AE84" i="1"/>
  <c r="AE73" i="1"/>
  <c r="AE96" i="1"/>
  <c r="AE80" i="1"/>
  <c r="AE9" i="1"/>
  <c r="Q157" i="1"/>
  <c r="Q133" i="1"/>
  <c r="Q125" i="1"/>
  <c r="Q117" i="1"/>
  <c r="Q101" i="1"/>
  <c r="Q91" i="1"/>
  <c r="Q83" i="1"/>
  <c r="Q65" i="1"/>
  <c r="Q21" i="1"/>
  <c r="Q13" i="1"/>
  <c r="AE4" i="1"/>
  <c r="AE155" i="1"/>
  <c r="AE111" i="1"/>
  <c r="AE53" i="1"/>
  <c r="AE49" i="1"/>
  <c r="AE36" i="1"/>
  <c r="AE159" i="1"/>
  <c r="AE126" i="1"/>
  <c r="AE48" i="1"/>
  <c r="AE35" i="1"/>
  <c r="AE22" i="1"/>
  <c r="Q139" i="1"/>
  <c r="Q135" i="1"/>
  <c r="Q127" i="1"/>
  <c r="Q115" i="1"/>
  <c r="Q107" i="1"/>
  <c r="Q103" i="1"/>
  <c r="Q99" i="1"/>
  <c r="Q93" i="1"/>
  <c r="Q89" i="1"/>
  <c r="Q85" i="1"/>
  <c r="Q81" i="1"/>
  <c r="Q76" i="1"/>
  <c r="Q71" i="1"/>
  <c r="Q67" i="1"/>
  <c r="Q63" i="1"/>
  <c r="Q58" i="1"/>
  <c r="Q40" i="1"/>
  <c r="Q31" i="1"/>
  <c r="Q27" i="1"/>
  <c r="Q23" i="1"/>
  <c r="Q19" i="1"/>
  <c r="Q15" i="1"/>
  <c r="Q6" i="1"/>
  <c r="AE158" i="1"/>
  <c r="AE134" i="1"/>
  <c r="AE44" i="1"/>
  <c r="AE39" i="1"/>
  <c r="AE26" i="1"/>
  <c r="AE154" i="1"/>
  <c r="AE62" i="1"/>
  <c r="AE52" i="1"/>
  <c r="AE18" i="1"/>
  <c r="AE14" i="1"/>
  <c r="Q146" i="1"/>
  <c r="Q122" i="1"/>
  <c r="Q70" i="1"/>
  <c r="Q57" i="1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U96" i="1"/>
  <c r="U83" i="1"/>
  <c r="W73" i="1" l="1"/>
  <c r="X73" i="1"/>
  <c r="W77" i="1"/>
  <c r="X77" i="1"/>
  <c r="AG159" i="1"/>
  <c r="AF159" i="1"/>
  <c r="AD159" i="1"/>
  <c r="AG158" i="1"/>
  <c r="AF158" i="1"/>
  <c r="AD158" i="1"/>
  <c r="AG157" i="1"/>
  <c r="AF157" i="1"/>
  <c r="AD157" i="1"/>
  <c r="AG155" i="1"/>
  <c r="AF155" i="1"/>
  <c r="AD155" i="1"/>
  <c r="AG154" i="1"/>
  <c r="AF154" i="1"/>
  <c r="AD154" i="1"/>
  <c r="AG152" i="1"/>
  <c r="AF152" i="1"/>
  <c r="AD152" i="1"/>
  <c r="AG146" i="1"/>
  <c r="AF146" i="1"/>
  <c r="AD146" i="1"/>
  <c r="AG145" i="1"/>
  <c r="AF145" i="1"/>
  <c r="AD145" i="1"/>
  <c r="AG144" i="1"/>
  <c r="AF144" i="1"/>
  <c r="AD144" i="1"/>
  <c r="AG140" i="1"/>
  <c r="AF140" i="1"/>
  <c r="AD140" i="1"/>
  <c r="AG139" i="1"/>
  <c r="AF139" i="1"/>
  <c r="AD139" i="1"/>
  <c r="AG138" i="1"/>
  <c r="AF138" i="1"/>
  <c r="AD138" i="1"/>
  <c r="AG135" i="1"/>
  <c r="AF135" i="1"/>
  <c r="AD135" i="1"/>
  <c r="AG134" i="1"/>
  <c r="AF134" i="1"/>
  <c r="AD134" i="1"/>
  <c r="AG133" i="1"/>
  <c r="AF133" i="1"/>
  <c r="AD133" i="1"/>
  <c r="AG127" i="1"/>
  <c r="AF127" i="1"/>
  <c r="AD127" i="1"/>
  <c r="AG126" i="1"/>
  <c r="AF126" i="1"/>
  <c r="AD126" i="1"/>
  <c r="AG125" i="1"/>
  <c r="AF125" i="1"/>
  <c r="AD125" i="1"/>
  <c r="AG122" i="1"/>
  <c r="AF122" i="1"/>
  <c r="AD122" i="1"/>
  <c r="AG121" i="1"/>
  <c r="AF121" i="1"/>
  <c r="AD121" i="1"/>
  <c r="AG120" i="1"/>
  <c r="AF120" i="1"/>
  <c r="AD120" i="1"/>
  <c r="AG117" i="1"/>
  <c r="AF117" i="1"/>
  <c r="AD117" i="1"/>
  <c r="AG116" i="1"/>
  <c r="AD116" i="1"/>
  <c r="AG115" i="1"/>
  <c r="AF115" i="1"/>
  <c r="AD115" i="1"/>
  <c r="AG111" i="1"/>
  <c r="AF111" i="1"/>
  <c r="AD111" i="1"/>
  <c r="AG108" i="1"/>
  <c r="AF108" i="1"/>
  <c r="AD108" i="1"/>
  <c r="AG107" i="1"/>
  <c r="AF107" i="1"/>
  <c r="AD107" i="1"/>
  <c r="AG103" i="1"/>
  <c r="AF103" i="1"/>
  <c r="AD103" i="1"/>
  <c r="AG102" i="1"/>
  <c r="AF102" i="1"/>
  <c r="AD102" i="1"/>
  <c r="AG101" i="1"/>
  <c r="AF101" i="1"/>
  <c r="AD101" i="1"/>
  <c r="AG100" i="1"/>
  <c r="AF100" i="1"/>
  <c r="AD100" i="1"/>
  <c r="AG99" i="1"/>
  <c r="AF99" i="1"/>
  <c r="AD99" i="1"/>
  <c r="AG98" i="1"/>
  <c r="AF98" i="1"/>
  <c r="AD98" i="1"/>
  <c r="AG96" i="1"/>
  <c r="AF96" i="1"/>
  <c r="AD96" i="1"/>
  <c r="AG95" i="1"/>
  <c r="AF95" i="1"/>
  <c r="AD95" i="1"/>
  <c r="AG94" i="1"/>
  <c r="AF94" i="1"/>
  <c r="AD94" i="1"/>
  <c r="AG93" i="1"/>
  <c r="AF93" i="1"/>
  <c r="AD93" i="1"/>
  <c r="AG92" i="1"/>
  <c r="AF92" i="1"/>
  <c r="AD92" i="1"/>
  <c r="AG91" i="1"/>
  <c r="AF91" i="1"/>
  <c r="AD91" i="1"/>
  <c r="AG90" i="1"/>
  <c r="AF90" i="1"/>
  <c r="AD90" i="1"/>
  <c r="AG89" i="1"/>
  <c r="AF89" i="1"/>
  <c r="AD89" i="1"/>
  <c r="AG88" i="1"/>
  <c r="AF88" i="1"/>
  <c r="AD88" i="1"/>
  <c r="AG87" i="1"/>
  <c r="AF87" i="1"/>
  <c r="AD87" i="1"/>
  <c r="AG86" i="1"/>
  <c r="AF86" i="1"/>
  <c r="AD86" i="1"/>
  <c r="AG85" i="1"/>
  <c r="AF85" i="1"/>
  <c r="AD85" i="1"/>
  <c r="AG84" i="1"/>
  <c r="AF84" i="1"/>
  <c r="AD84" i="1"/>
  <c r="AG83" i="1"/>
  <c r="AF83" i="1"/>
  <c r="AD83" i="1"/>
  <c r="AG82" i="1"/>
  <c r="AF82" i="1"/>
  <c r="AD82" i="1"/>
  <c r="AG81" i="1"/>
  <c r="AF81" i="1"/>
  <c r="AD81" i="1"/>
  <c r="AG80" i="1"/>
  <c r="AF80" i="1"/>
  <c r="AD80" i="1"/>
  <c r="AG79" i="1"/>
  <c r="AF79" i="1"/>
  <c r="AD79" i="1"/>
  <c r="AG78" i="1"/>
  <c r="AF78" i="1"/>
  <c r="AD78" i="1"/>
  <c r="AG77" i="1"/>
  <c r="AF77" i="1"/>
  <c r="AD77" i="1"/>
  <c r="AG76" i="1"/>
  <c r="AF76" i="1"/>
  <c r="AD76" i="1"/>
  <c r="AG74" i="1"/>
  <c r="AF74" i="1"/>
  <c r="AD74" i="1"/>
  <c r="AG73" i="1"/>
  <c r="AF73" i="1"/>
  <c r="AD73" i="1"/>
  <c r="AG72" i="1"/>
  <c r="AF72" i="1"/>
  <c r="AD72" i="1"/>
  <c r="AG71" i="1"/>
  <c r="AF71" i="1"/>
  <c r="AD71" i="1"/>
  <c r="AG70" i="1"/>
  <c r="AF70" i="1"/>
  <c r="AD70" i="1"/>
  <c r="AG69" i="1"/>
  <c r="AF69" i="1"/>
  <c r="AD69" i="1"/>
  <c r="AG68" i="1"/>
  <c r="AF68" i="1"/>
  <c r="AD68" i="1"/>
  <c r="AG67" i="1"/>
  <c r="AF67" i="1"/>
  <c r="AD67" i="1"/>
  <c r="AG65" i="1"/>
  <c r="AF65" i="1"/>
  <c r="AD65" i="1"/>
  <c r="AG63" i="1"/>
  <c r="AF63" i="1"/>
  <c r="AD63" i="1"/>
  <c r="AG62" i="1"/>
  <c r="AF62" i="1"/>
  <c r="AD62" i="1"/>
  <c r="AG61" i="1"/>
  <c r="AF61" i="1"/>
  <c r="AD61" i="1"/>
  <c r="AG58" i="1"/>
  <c r="AF58" i="1"/>
  <c r="AD58" i="1"/>
  <c r="AG57" i="1"/>
  <c r="AF57" i="1"/>
  <c r="AD57" i="1"/>
  <c r="AG56" i="1"/>
  <c r="AF56" i="1"/>
  <c r="AD56" i="1"/>
  <c r="AG53" i="1"/>
  <c r="AF53" i="1"/>
  <c r="AD53" i="1"/>
  <c r="AG52" i="1"/>
  <c r="AF52" i="1"/>
  <c r="AD52" i="1"/>
  <c r="AG51" i="1"/>
  <c r="AF51" i="1"/>
  <c r="AD51" i="1"/>
  <c r="AG50" i="1"/>
  <c r="AF50" i="1"/>
  <c r="AD50" i="1"/>
  <c r="AG49" i="1"/>
  <c r="AF49" i="1"/>
  <c r="AD49" i="1"/>
  <c r="AG48" i="1"/>
  <c r="AF48" i="1"/>
  <c r="AD48" i="1"/>
  <c r="AG44" i="1"/>
  <c r="AF44" i="1"/>
  <c r="AD44" i="1"/>
  <c r="AG43" i="1"/>
  <c r="AF43" i="1"/>
  <c r="AD43" i="1"/>
  <c r="AG42" i="1"/>
  <c r="AF42" i="1"/>
  <c r="AD42" i="1"/>
  <c r="AG41" i="1"/>
  <c r="AF41" i="1"/>
  <c r="AD41" i="1"/>
  <c r="AG40" i="1"/>
  <c r="AF40" i="1"/>
  <c r="AD40" i="1"/>
  <c r="AG39" i="1"/>
  <c r="AF39" i="1"/>
  <c r="AD39" i="1"/>
  <c r="AG37" i="1"/>
  <c r="AF37" i="1"/>
  <c r="AD37" i="1"/>
  <c r="AG36" i="1"/>
  <c r="AF36" i="1"/>
  <c r="AD36" i="1"/>
  <c r="AG35" i="1"/>
  <c r="AF35" i="1"/>
  <c r="AD35" i="1"/>
  <c r="AG33" i="1"/>
  <c r="AF33" i="1"/>
  <c r="AD33" i="1"/>
  <c r="AG32" i="1"/>
  <c r="AF32" i="1"/>
  <c r="AD32" i="1"/>
  <c r="AG31" i="1"/>
  <c r="AF31" i="1"/>
  <c r="AD31" i="1"/>
  <c r="AG28" i="1"/>
  <c r="AF28" i="1"/>
  <c r="AD28" i="1"/>
  <c r="AG27" i="1"/>
  <c r="AF27" i="1"/>
  <c r="AD27" i="1"/>
  <c r="AG26" i="1"/>
  <c r="AF26" i="1"/>
  <c r="AD26" i="1"/>
  <c r="AG24" i="1"/>
  <c r="AF24" i="1"/>
  <c r="AD24" i="1"/>
  <c r="AG23" i="1"/>
  <c r="AF23" i="1"/>
  <c r="AD23" i="1"/>
  <c r="AG22" i="1"/>
  <c r="AF22" i="1"/>
  <c r="AD22" i="1"/>
  <c r="AG21" i="1"/>
  <c r="AF21" i="1"/>
  <c r="AD21" i="1"/>
  <c r="AG20" i="1"/>
  <c r="AF20" i="1"/>
  <c r="AD20" i="1"/>
  <c r="AG19" i="1"/>
  <c r="AD19" i="1"/>
  <c r="Y19" i="1"/>
  <c r="AF19" i="1" s="1"/>
  <c r="AG18" i="1"/>
  <c r="AF18" i="1"/>
  <c r="AD18" i="1"/>
  <c r="AG17" i="1"/>
  <c r="AF17" i="1"/>
  <c r="AD17" i="1"/>
  <c r="AG16" i="1"/>
  <c r="AF16" i="1"/>
  <c r="AD16" i="1"/>
  <c r="AG15" i="1"/>
  <c r="AF15" i="1"/>
  <c r="AD15" i="1"/>
  <c r="AG14" i="1"/>
  <c r="AF14" i="1"/>
  <c r="AD14" i="1"/>
  <c r="AG13" i="1"/>
  <c r="AF13" i="1"/>
  <c r="AD13" i="1"/>
  <c r="AG12" i="1"/>
  <c r="AF12" i="1"/>
  <c r="AD12" i="1"/>
  <c r="AG11" i="1"/>
  <c r="AF11" i="1"/>
  <c r="AD11" i="1"/>
  <c r="AG9" i="1"/>
  <c r="AF9" i="1"/>
  <c r="AD9" i="1"/>
  <c r="AG8" i="1"/>
  <c r="AF8" i="1"/>
  <c r="AD8" i="1"/>
  <c r="AG7" i="1"/>
  <c r="AF7" i="1"/>
  <c r="AD7" i="1"/>
  <c r="AG6" i="1"/>
  <c r="AF6" i="1"/>
  <c r="AD6" i="1"/>
  <c r="AG5" i="1"/>
  <c r="AF5" i="1"/>
  <c r="AD5" i="1"/>
  <c r="AG4" i="1"/>
  <c r="AF4" i="1"/>
  <c r="T92" i="1"/>
  <c r="T161" i="1"/>
  <c r="W161" i="1" s="1"/>
  <c r="T160" i="1"/>
  <c r="W160" i="1" s="1"/>
  <c r="U159" i="1"/>
  <c r="W159" i="1" s="1"/>
  <c r="V158" i="1"/>
  <c r="T158" i="1"/>
  <c r="V157" i="1"/>
  <c r="W157" i="1" s="1"/>
  <c r="S157" i="1"/>
  <c r="X157" i="1" s="1"/>
  <c r="U156" i="1"/>
  <c r="T156" i="1"/>
  <c r="V155" i="1"/>
  <c r="U155" i="1"/>
  <c r="V154" i="1"/>
  <c r="T154" i="1"/>
  <c r="T153" i="1"/>
  <c r="W153" i="1" s="1"/>
  <c r="U152" i="1"/>
  <c r="T152" i="1"/>
  <c r="T151" i="1"/>
  <c r="W151" i="1" s="1"/>
  <c r="T150" i="1"/>
  <c r="W150" i="1" s="1"/>
  <c r="T149" i="1"/>
  <c r="W149" i="1" s="1"/>
  <c r="U148" i="1"/>
  <c r="T148" i="1"/>
  <c r="T147" i="1"/>
  <c r="W147" i="1" s="1"/>
  <c r="U146" i="1"/>
  <c r="T146" i="1"/>
  <c r="T145" i="1"/>
  <c r="W145" i="1" s="1"/>
  <c r="W144" i="1"/>
  <c r="U143" i="1"/>
  <c r="T143" i="1"/>
  <c r="U142" i="1"/>
  <c r="W142" i="1" s="1"/>
  <c r="V141" i="1"/>
  <c r="W141" i="1" s="1"/>
  <c r="T140" i="1"/>
  <c r="W140" i="1" s="1"/>
  <c r="T139" i="1"/>
  <c r="W139" i="1" s="1"/>
  <c r="T138" i="1"/>
  <c r="W138" i="1" s="1"/>
  <c r="T137" i="1"/>
  <c r="W137" i="1" s="1"/>
  <c r="T136" i="1"/>
  <c r="W136" i="1" s="1"/>
  <c r="V135" i="1"/>
  <c r="W135" i="1" s="1"/>
  <c r="T133" i="1"/>
  <c r="W133" i="1" s="1"/>
  <c r="T132" i="1"/>
  <c r="W132" i="1" s="1"/>
  <c r="T131" i="1"/>
  <c r="W131" i="1" s="1"/>
  <c r="V130" i="1"/>
  <c r="W130" i="1" s="1"/>
  <c r="T129" i="1"/>
  <c r="W129" i="1" s="1"/>
  <c r="T128" i="1"/>
  <c r="W128" i="1" s="1"/>
  <c r="T127" i="1"/>
  <c r="W127" i="1" s="1"/>
  <c r="T126" i="1"/>
  <c r="W126" i="1" s="1"/>
  <c r="V125" i="1"/>
  <c r="T125" i="1"/>
  <c r="T124" i="1"/>
  <c r="W124" i="1" s="1"/>
  <c r="S124" i="1"/>
  <c r="X124" i="1" s="1"/>
  <c r="U123" i="1"/>
  <c r="W123" i="1" s="1"/>
  <c r="T122" i="1"/>
  <c r="W122" i="1" s="1"/>
  <c r="U121" i="1"/>
  <c r="W121" i="1" s="1"/>
  <c r="S121" i="1"/>
  <c r="X121" i="1" s="1"/>
  <c r="U120" i="1"/>
  <c r="T120" i="1"/>
  <c r="T119" i="1"/>
  <c r="W119" i="1" s="1"/>
  <c r="T118" i="1"/>
  <c r="W118" i="1" s="1"/>
  <c r="V117" i="1"/>
  <c r="W117" i="1" s="1"/>
  <c r="U116" i="1"/>
  <c r="W116" i="1" s="1"/>
  <c r="T115" i="1"/>
  <c r="W115" i="1" s="1"/>
  <c r="T114" i="1"/>
  <c r="W114" i="1" s="1"/>
  <c r="T113" i="1"/>
  <c r="W113" i="1" s="1"/>
  <c r="U112" i="1"/>
  <c r="W112" i="1" s="1"/>
  <c r="T111" i="1"/>
  <c r="W111" i="1" s="1"/>
  <c r="T110" i="1"/>
  <c r="W110" i="1" s="1"/>
  <c r="U109" i="1"/>
  <c r="W109" i="1" s="1"/>
  <c r="T108" i="1"/>
  <c r="W108" i="1" s="1"/>
  <c r="T107" i="1"/>
  <c r="W107" i="1" s="1"/>
  <c r="T106" i="1"/>
  <c r="W106" i="1" s="1"/>
  <c r="S106" i="1"/>
  <c r="X106" i="1" s="1"/>
  <c r="V105" i="1"/>
  <c r="U105" i="1"/>
  <c r="T105" i="1"/>
  <c r="S105" i="1"/>
  <c r="X105" i="1" s="1"/>
  <c r="U104" i="1"/>
  <c r="W104" i="1" s="1"/>
  <c r="T103" i="1"/>
  <c r="W103" i="1" s="1"/>
  <c r="V102" i="1"/>
  <c r="T102" i="1"/>
  <c r="T101" i="1"/>
  <c r="W101" i="1" s="1"/>
  <c r="V100" i="1"/>
  <c r="U100" i="1"/>
  <c r="T100" i="1"/>
  <c r="V99" i="1"/>
  <c r="U99" i="1"/>
  <c r="T99" i="1"/>
  <c r="V97" i="1"/>
  <c r="U97" i="1"/>
  <c r="T97" i="1"/>
  <c r="V96" i="1"/>
  <c r="T96" i="1"/>
  <c r="V95" i="1"/>
  <c r="U95" i="1"/>
  <c r="T95" i="1"/>
  <c r="V94" i="1"/>
  <c r="U94" i="1"/>
  <c r="T94" i="1"/>
  <c r="V93" i="1"/>
  <c r="U93" i="1"/>
  <c r="T93" i="1"/>
  <c r="V92" i="1"/>
  <c r="U92" i="1"/>
  <c r="V91" i="1"/>
  <c r="U91" i="1"/>
  <c r="T91" i="1"/>
  <c r="V90" i="1"/>
  <c r="U90" i="1"/>
  <c r="V89" i="1"/>
  <c r="U89" i="1"/>
  <c r="T89" i="1"/>
  <c r="U88" i="1"/>
  <c r="W88" i="1" s="1"/>
  <c r="V87" i="1"/>
  <c r="U87" i="1"/>
  <c r="T87" i="1"/>
  <c r="V86" i="1"/>
  <c r="U86" i="1"/>
  <c r="T86" i="1"/>
  <c r="V85" i="1"/>
  <c r="U85" i="1"/>
  <c r="T85" i="1"/>
  <c r="V84" i="1"/>
  <c r="U84" i="1"/>
  <c r="T84" i="1"/>
  <c r="V83" i="1"/>
  <c r="T83" i="1"/>
  <c r="V82" i="1"/>
  <c r="U82" i="1"/>
  <c r="T82" i="1"/>
  <c r="S82" i="1"/>
  <c r="X82" i="1" s="1"/>
  <c r="V81" i="1"/>
  <c r="U81" i="1"/>
  <c r="T81" i="1"/>
  <c r="S81" i="1"/>
  <c r="X81" i="1" s="1"/>
  <c r="V80" i="1"/>
  <c r="U80" i="1"/>
  <c r="T80" i="1"/>
  <c r="S80" i="1"/>
  <c r="X80" i="1" s="1"/>
  <c r="V79" i="1"/>
  <c r="U79" i="1"/>
  <c r="T79" i="1"/>
  <c r="V76" i="1"/>
  <c r="U76" i="1"/>
  <c r="T76" i="1"/>
  <c r="V75" i="1"/>
  <c r="U75" i="1"/>
  <c r="T75" i="1"/>
  <c r="V74" i="1"/>
  <c r="U74" i="1"/>
  <c r="T74" i="1"/>
  <c r="V72" i="1"/>
  <c r="U72" i="1"/>
  <c r="T72" i="1"/>
  <c r="S72" i="1"/>
  <c r="X72" i="1" s="1"/>
  <c r="V71" i="1"/>
  <c r="U71" i="1"/>
  <c r="T71" i="1"/>
  <c r="S71" i="1"/>
  <c r="X71" i="1" s="1"/>
  <c r="V70" i="1"/>
  <c r="U70" i="1"/>
  <c r="T70" i="1"/>
  <c r="V69" i="1"/>
  <c r="U69" i="1"/>
  <c r="T69" i="1"/>
  <c r="T68" i="1"/>
  <c r="W68" i="1" s="1"/>
  <c r="W67" i="1"/>
  <c r="U66" i="1"/>
  <c r="T66" i="1"/>
  <c r="U65" i="1"/>
  <c r="T65" i="1"/>
  <c r="U64" i="1"/>
  <c r="T64" i="1"/>
  <c r="T63" i="1"/>
  <c r="W63" i="1" s="1"/>
  <c r="W62" i="1"/>
  <c r="U59" i="1"/>
  <c r="T59" i="1"/>
  <c r="V58" i="1"/>
  <c r="U58" i="1"/>
  <c r="U57" i="1"/>
  <c r="T57" i="1"/>
  <c r="U55" i="1"/>
  <c r="W55" i="1" s="1"/>
  <c r="V54" i="1"/>
  <c r="W54" i="1" s="1"/>
  <c r="S54" i="1"/>
  <c r="X54" i="1" s="1"/>
  <c r="W53" i="1"/>
  <c r="W52" i="1"/>
  <c r="V51" i="1"/>
  <c r="U51" i="1"/>
  <c r="T50" i="1"/>
  <c r="W50" i="1" s="1"/>
  <c r="V49" i="1"/>
  <c r="U49" i="1"/>
  <c r="W48" i="1"/>
  <c r="T47" i="1"/>
  <c r="W47" i="1" s="1"/>
  <c r="W46" i="1"/>
  <c r="V45" i="1"/>
  <c r="T45" i="1"/>
  <c r="U44" i="1"/>
  <c r="T44" i="1"/>
  <c r="U42" i="1"/>
  <c r="T42" i="1"/>
  <c r="W41" i="1"/>
  <c r="W40" i="1"/>
  <c r="W39" i="1"/>
  <c r="T38" i="1"/>
  <c r="W38" i="1" s="1"/>
  <c r="V37" i="1"/>
  <c r="T37" i="1"/>
  <c r="T36" i="1"/>
  <c r="W36" i="1" s="1"/>
  <c r="U35" i="1"/>
  <c r="T35" i="1"/>
  <c r="W34" i="1"/>
  <c r="T33" i="1"/>
  <c r="W33" i="1" s="1"/>
  <c r="U31" i="1"/>
  <c r="T31" i="1"/>
  <c r="V30" i="1"/>
  <c r="T30" i="1"/>
  <c r="V29" i="1"/>
  <c r="T29" i="1"/>
  <c r="T28" i="1"/>
  <c r="W28" i="1" s="1"/>
  <c r="V27" i="1"/>
  <c r="T27" i="1"/>
  <c r="U26" i="1"/>
  <c r="W26" i="1" s="1"/>
  <c r="V25" i="1"/>
  <c r="T25" i="1"/>
  <c r="V24" i="1"/>
  <c r="U24" i="1"/>
  <c r="T24" i="1"/>
  <c r="V23" i="1"/>
  <c r="U23" i="1"/>
  <c r="T23" i="1"/>
  <c r="V22" i="1"/>
  <c r="U22" i="1"/>
  <c r="T22" i="1"/>
  <c r="V21" i="1"/>
  <c r="U21" i="1"/>
  <c r="V20" i="1"/>
  <c r="U20" i="1"/>
  <c r="T20" i="1"/>
  <c r="V19" i="1"/>
  <c r="U19" i="1"/>
  <c r="T19" i="1"/>
  <c r="V18" i="1"/>
  <c r="U18" i="1"/>
  <c r="T18" i="1"/>
  <c r="S18" i="1"/>
  <c r="X18" i="1" s="1"/>
  <c r="V17" i="1"/>
  <c r="U17" i="1"/>
  <c r="V16" i="1"/>
  <c r="U16" i="1"/>
  <c r="T16" i="1"/>
  <c r="V15" i="1"/>
  <c r="U15" i="1"/>
  <c r="T15" i="1"/>
  <c r="V14" i="1"/>
  <c r="U14" i="1"/>
  <c r="T14" i="1"/>
  <c r="V13" i="1"/>
  <c r="U13" i="1"/>
  <c r="T13" i="1"/>
  <c r="V11" i="1"/>
  <c r="U11" i="1"/>
  <c r="T11" i="1"/>
  <c r="V10" i="1"/>
  <c r="T10" i="1"/>
  <c r="V9" i="1"/>
  <c r="W9" i="1" s="1"/>
  <c r="V8" i="1"/>
  <c r="T8" i="1"/>
  <c r="V7" i="1"/>
  <c r="U7" i="1"/>
  <c r="T7" i="1"/>
  <c r="V6" i="1"/>
  <c r="U6" i="1"/>
  <c r="T6" i="1"/>
  <c r="V4" i="1"/>
  <c r="U4" i="1"/>
  <c r="T4" i="1"/>
  <c r="U3" i="1"/>
  <c r="T3" i="1"/>
  <c r="W57" i="1" l="1"/>
  <c r="W156" i="1"/>
  <c r="W72" i="1"/>
  <c r="W75" i="1"/>
  <c r="W24" i="1"/>
  <c r="W76" i="1"/>
  <c r="W120" i="1"/>
  <c r="W105" i="1"/>
  <c r="W83" i="1"/>
  <c r="W125" i="1"/>
  <c r="W30" i="1"/>
  <c r="W45" i="1"/>
  <c r="W74" i="1"/>
  <c r="W93" i="1"/>
  <c r="W97" i="1"/>
  <c r="W17" i="1"/>
  <c r="W21" i="1"/>
  <c r="W90" i="1"/>
  <c r="W152" i="1"/>
  <c r="W10" i="1"/>
  <c r="W14" i="1"/>
  <c r="W18" i="1"/>
  <c r="W23" i="1"/>
  <c r="W25" i="1"/>
  <c r="W143" i="1"/>
  <c r="W154" i="1"/>
  <c r="W49" i="1"/>
  <c r="W58" i="1"/>
  <c r="W80" i="1"/>
  <c r="W87" i="1"/>
  <c r="W89" i="1"/>
  <c r="W155" i="1"/>
  <c r="W31" i="1"/>
  <c r="W35" i="1"/>
  <c r="W37" i="1"/>
  <c r="W44" i="1"/>
  <c r="W65" i="1"/>
  <c r="W3" i="1"/>
  <c r="W7" i="1"/>
  <c r="W8" i="1"/>
  <c r="W13" i="1"/>
  <c r="W22" i="1"/>
  <c r="W27" i="1"/>
  <c r="W51" i="1"/>
  <c r="W59" i="1"/>
  <c r="W71" i="1"/>
  <c r="W82" i="1"/>
  <c r="W86" i="1"/>
  <c r="W92" i="1"/>
  <c r="W96" i="1"/>
  <c r="W158" i="1"/>
  <c r="W6" i="1"/>
  <c r="W11" i="1"/>
  <c r="W16" i="1"/>
  <c r="W20" i="1"/>
  <c r="W42" i="1"/>
  <c r="W64" i="1"/>
  <c r="W66" i="1"/>
  <c r="W70" i="1"/>
  <c r="W81" i="1"/>
  <c r="W85" i="1"/>
  <c r="W91" i="1"/>
  <c r="W95" i="1"/>
  <c r="W100" i="1"/>
  <c r="W102" i="1"/>
  <c r="W146" i="1"/>
  <c r="W148" i="1"/>
  <c r="W4" i="1"/>
  <c r="W15" i="1"/>
  <c r="W19" i="1"/>
  <c r="W29" i="1"/>
  <c r="W69" i="1"/>
  <c r="W79" i="1"/>
  <c r="W84" i="1"/>
  <c r="W94" i="1"/>
  <c r="W99" i="1"/>
  <c r="U256" i="4"/>
  <c r="V256" i="4"/>
  <c r="U255" i="4"/>
  <c r="P255" i="4"/>
  <c r="U254" i="4"/>
  <c r="P254" i="4"/>
  <c r="U253" i="4"/>
  <c r="V253" i="4"/>
  <c r="U252" i="4"/>
  <c r="U251" i="4"/>
  <c r="V251" i="4"/>
  <c r="P251" i="4"/>
  <c r="U250" i="4"/>
  <c r="V250" i="4"/>
  <c r="P250" i="4"/>
  <c r="U249" i="4"/>
  <c r="U248" i="4"/>
  <c r="V248" i="4"/>
  <c r="P248" i="4"/>
  <c r="U247" i="4"/>
  <c r="V247" i="4"/>
  <c r="P247" i="4"/>
  <c r="U246" i="4"/>
  <c r="P246" i="4"/>
  <c r="U245" i="4"/>
  <c r="U244" i="4"/>
  <c r="P244" i="4"/>
  <c r="U243" i="4"/>
  <c r="P243" i="4"/>
  <c r="U242" i="4"/>
  <c r="P242" i="4"/>
  <c r="U241" i="4"/>
  <c r="V241" i="4"/>
  <c r="U240" i="4"/>
  <c r="U239" i="4"/>
  <c r="V239" i="4"/>
  <c r="P239" i="4"/>
  <c r="U238" i="4"/>
  <c r="P238" i="4"/>
  <c r="U237" i="4"/>
  <c r="U236" i="4"/>
  <c r="V236" i="4"/>
  <c r="U235" i="4"/>
  <c r="P235" i="4"/>
  <c r="U234" i="4"/>
  <c r="P234" i="4"/>
  <c r="U233" i="4"/>
  <c r="V233" i="4"/>
  <c r="U232" i="4"/>
  <c r="Q232" i="4"/>
  <c r="P232" i="4"/>
  <c r="R232" i="4"/>
  <c r="U231" i="4"/>
  <c r="V231" i="4"/>
  <c r="U230" i="4"/>
  <c r="Q230" i="4"/>
  <c r="P230" i="4"/>
  <c r="R230" i="4"/>
  <c r="U229" i="4"/>
  <c r="V229" i="4"/>
  <c r="U228" i="4"/>
  <c r="Q228" i="4"/>
  <c r="P228" i="4"/>
  <c r="R228" i="4"/>
  <c r="U227" i="4"/>
  <c r="V227" i="4"/>
  <c r="U226" i="4"/>
  <c r="Q226" i="4"/>
  <c r="P226" i="4"/>
  <c r="R226" i="4"/>
  <c r="U225" i="4"/>
  <c r="V225" i="4"/>
  <c r="U224" i="4"/>
  <c r="Q224" i="4"/>
  <c r="P224" i="4"/>
  <c r="R224" i="4"/>
  <c r="U223" i="4"/>
  <c r="V223" i="4"/>
  <c r="U222" i="4"/>
  <c r="Q222" i="4"/>
  <c r="P222" i="4"/>
  <c r="R222" i="4"/>
  <c r="U221" i="4"/>
  <c r="U220" i="4"/>
  <c r="Q220" i="4"/>
  <c r="P220" i="4"/>
  <c r="R220" i="4"/>
  <c r="U219" i="4"/>
  <c r="V219" i="4"/>
  <c r="U218" i="4"/>
  <c r="Q218" i="4"/>
  <c r="P218" i="4"/>
  <c r="R218" i="4"/>
  <c r="U217" i="4"/>
  <c r="V217" i="4"/>
  <c r="U216" i="4"/>
  <c r="Q216" i="4"/>
  <c r="P216" i="4"/>
  <c r="R216" i="4"/>
  <c r="U215" i="4"/>
  <c r="U214" i="4"/>
  <c r="R214" i="4"/>
  <c r="Q214" i="4"/>
  <c r="P214" i="4"/>
  <c r="U213" i="4"/>
  <c r="V213" i="4"/>
  <c r="R213" i="4"/>
  <c r="Q213" i="4"/>
  <c r="P213" i="4"/>
  <c r="U212" i="4"/>
  <c r="R212" i="4"/>
  <c r="Q212" i="4"/>
  <c r="P212" i="4"/>
  <c r="U211" i="4"/>
  <c r="R211" i="4"/>
  <c r="Q211" i="4"/>
  <c r="P211" i="4"/>
  <c r="U210" i="4"/>
  <c r="R210" i="4"/>
  <c r="Q210" i="4"/>
  <c r="P210" i="4"/>
  <c r="U209" i="4"/>
  <c r="V209" i="4"/>
  <c r="R209" i="4"/>
  <c r="Q209" i="4"/>
  <c r="P209" i="4"/>
  <c r="U208" i="4"/>
  <c r="R208" i="4"/>
  <c r="Q208" i="4"/>
  <c r="P208" i="4"/>
  <c r="U207" i="4"/>
  <c r="R207" i="4"/>
  <c r="Q207" i="4"/>
  <c r="P207" i="4"/>
  <c r="U206" i="4"/>
  <c r="V206" i="4"/>
  <c r="R206" i="4"/>
  <c r="Q206" i="4"/>
  <c r="P206" i="4"/>
  <c r="U205" i="4"/>
  <c r="V205" i="4"/>
  <c r="R205" i="4"/>
  <c r="Q205" i="4"/>
  <c r="P205" i="4"/>
  <c r="U204" i="4"/>
  <c r="V204" i="4"/>
  <c r="R204" i="4"/>
  <c r="Q204" i="4"/>
  <c r="P204" i="4"/>
  <c r="U203" i="4"/>
  <c r="R203" i="4"/>
  <c r="Q203" i="4"/>
  <c r="P203" i="4"/>
  <c r="U202" i="4"/>
  <c r="R202" i="4"/>
  <c r="Q202" i="4"/>
  <c r="P202" i="4"/>
  <c r="U201" i="4"/>
  <c r="R201" i="4"/>
  <c r="Q201" i="4"/>
  <c r="P201" i="4"/>
  <c r="U200" i="4"/>
  <c r="V200" i="4"/>
  <c r="R200" i="4"/>
  <c r="Q200" i="4"/>
  <c r="P200" i="4"/>
  <c r="U199" i="4"/>
  <c r="R199" i="4"/>
  <c r="Q199" i="4"/>
  <c r="P199" i="4"/>
  <c r="U198" i="4"/>
  <c r="V198" i="4"/>
  <c r="R198" i="4"/>
  <c r="Q198" i="4"/>
  <c r="P198" i="4"/>
  <c r="U197" i="4"/>
  <c r="V197" i="4"/>
  <c r="R197" i="4"/>
  <c r="Q197" i="4"/>
  <c r="P197" i="4"/>
  <c r="U196" i="4"/>
  <c r="R196" i="4"/>
  <c r="Q196" i="4"/>
  <c r="P196" i="4"/>
  <c r="U195" i="4"/>
  <c r="R195" i="4"/>
  <c r="Q195" i="4"/>
  <c r="P195" i="4"/>
  <c r="U194" i="4"/>
  <c r="V194" i="4"/>
  <c r="R194" i="4"/>
  <c r="Q194" i="4"/>
  <c r="P194" i="4"/>
  <c r="U193" i="4"/>
  <c r="R193" i="4"/>
  <c r="Q193" i="4"/>
  <c r="P193" i="4"/>
  <c r="U192" i="4"/>
  <c r="R192" i="4"/>
  <c r="Q192" i="4"/>
  <c r="P192" i="4"/>
  <c r="U191" i="4"/>
  <c r="R191" i="4"/>
  <c r="Q191" i="4"/>
  <c r="P191" i="4"/>
  <c r="U190" i="4"/>
  <c r="V190" i="4"/>
  <c r="R190" i="4"/>
  <c r="Q190" i="4"/>
  <c r="P190" i="4"/>
  <c r="U189" i="4"/>
  <c r="V189" i="4"/>
  <c r="R189" i="4"/>
  <c r="Q189" i="4"/>
  <c r="P189" i="4"/>
  <c r="U188" i="4"/>
  <c r="R188" i="4"/>
  <c r="Q188" i="4"/>
  <c r="P188" i="4"/>
  <c r="U187" i="4"/>
  <c r="V187" i="4"/>
  <c r="R187" i="4"/>
  <c r="Q187" i="4"/>
  <c r="P187" i="4"/>
  <c r="S187" i="4"/>
  <c r="U186" i="4"/>
  <c r="R186" i="4"/>
  <c r="Q186" i="4"/>
  <c r="P186" i="4"/>
  <c r="U185" i="4"/>
  <c r="V185" i="4"/>
  <c r="R185" i="4"/>
  <c r="Q185" i="4"/>
  <c r="P185" i="4"/>
  <c r="U184" i="4"/>
  <c r="R184" i="4"/>
  <c r="Q184" i="4"/>
  <c r="P184" i="4"/>
  <c r="U183" i="4"/>
  <c r="R183" i="4"/>
  <c r="Q183" i="4"/>
  <c r="P183" i="4"/>
  <c r="U182" i="4"/>
  <c r="V182" i="4"/>
  <c r="R182" i="4"/>
  <c r="Q182" i="4"/>
  <c r="P182" i="4"/>
  <c r="U181" i="4"/>
  <c r="R181" i="4"/>
  <c r="Q181" i="4"/>
  <c r="P181" i="4"/>
  <c r="U180" i="4"/>
  <c r="R180" i="4"/>
  <c r="Q180" i="4"/>
  <c r="P180" i="4"/>
  <c r="U179" i="4"/>
  <c r="V179" i="4"/>
  <c r="R179" i="4"/>
  <c r="Q179" i="4"/>
  <c r="P179" i="4"/>
  <c r="U178" i="4"/>
  <c r="V178" i="4"/>
  <c r="R178" i="4"/>
  <c r="Q178" i="4"/>
  <c r="P178" i="4"/>
  <c r="U177" i="4"/>
  <c r="R177" i="4"/>
  <c r="Q177" i="4"/>
  <c r="P177" i="4"/>
  <c r="U176" i="4"/>
  <c r="R176" i="4"/>
  <c r="Q176" i="4"/>
  <c r="P176" i="4"/>
  <c r="U175" i="4"/>
  <c r="R175" i="4"/>
  <c r="Q175" i="4"/>
  <c r="P175" i="4"/>
  <c r="U174" i="4"/>
  <c r="V174" i="4"/>
  <c r="R174" i="4"/>
  <c r="Q174" i="4"/>
  <c r="P174" i="4"/>
  <c r="U173" i="4"/>
  <c r="V173" i="4"/>
  <c r="R173" i="4"/>
  <c r="Q173" i="4"/>
  <c r="P173" i="4"/>
  <c r="U172" i="4"/>
  <c r="R172" i="4"/>
  <c r="Q172" i="4"/>
  <c r="P172" i="4"/>
  <c r="U171" i="4"/>
  <c r="R171" i="4"/>
  <c r="Q171" i="4"/>
  <c r="P171" i="4"/>
  <c r="U170" i="4"/>
  <c r="V170" i="4"/>
  <c r="R170" i="4"/>
  <c r="Q170" i="4"/>
  <c r="P170" i="4"/>
  <c r="U169" i="4"/>
  <c r="R169" i="4"/>
  <c r="Q169" i="4"/>
  <c r="P169" i="4"/>
  <c r="U168" i="4"/>
  <c r="R168" i="4"/>
  <c r="Q168" i="4"/>
  <c r="P168" i="4"/>
  <c r="U167" i="4"/>
  <c r="R167" i="4"/>
  <c r="Q167" i="4"/>
  <c r="P167" i="4"/>
  <c r="U166" i="4"/>
  <c r="R166" i="4"/>
  <c r="Q166" i="4"/>
  <c r="P166" i="4"/>
  <c r="U165" i="4"/>
  <c r="V165" i="4"/>
  <c r="R165" i="4"/>
  <c r="Q165" i="4"/>
  <c r="P165" i="4"/>
  <c r="U164" i="4"/>
  <c r="R164" i="4"/>
  <c r="Q164" i="4"/>
  <c r="P164" i="4"/>
  <c r="U163" i="4"/>
  <c r="R163" i="4"/>
  <c r="Q163" i="4"/>
  <c r="P163" i="4"/>
  <c r="U162" i="4"/>
  <c r="U161" i="4"/>
  <c r="R161" i="4"/>
  <c r="U160" i="4"/>
  <c r="U159" i="4"/>
  <c r="V159" i="4"/>
  <c r="R159" i="4"/>
  <c r="U158" i="4"/>
  <c r="V158" i="4"/>
  <c r="U157" i="4"/>
  <c r="R157" i="4"/>
  <c r="U156" i="4"/>
  <c r="V156" i="4"/>
  <c r="U155" i="4"/>
  <c r="V155" i="4"/>
  <c r="R155" i="4"/>
  <c r="U154" i="4"/>
  <c r="V154" i="4"/>
  <c r="U153" i="4"/>
  <c r="R153" i="4"/>
  <c r="U152" i="4"/>
  <c r="V152" i="4"/>
  <c r="U151" i="4"/>
  <c r="R151" i="4"/>
  <c r="U150" i="4"/>
  <c r="V150" i="4"/>
  <c r="U149" i="4"/>
  <c r="V149" i="4"/>
  <c r="R149" i="4"/>
  <c r="U148" i="4"/>
  <c r="V148" i="4"/>
  <c r="U147" i="4"/>
  <c r="V147" i="4"/>
  <c r="R147" i="4"/>
  <c r="U146" i="4"/>
  <c r="V146" i="4"/>
  <c r="U145" i="4"/>
  <c r="V145" i="4"/>
  <c r="R145" i="4"/>
  <c r="U144" i="4"/>
  <c r="U143" i="4"/>
  <c r="V143" i="4"/>
  <c r="R143" i="4"/>
  <c r="U142" i="4"/>
  <c r="V142" i="4"/>
  <c r="U141" i="4"/>
  <c r="V141" i="4"/>
  <c r="R141" i="4"/>
  <c r="U140" i="4"/>
  <c r="V140" i="4"/>
  <c r="U139" i="4"/>
  <c r="V139" i="4"/>
  <c r="R139" i="4"/>
  <c r="U138" i="4"/>
  <c r="V138" i="4"/>
  <c r="U137" i="4"/>
  <c r="R137" i="4"/>
  <c r="U136" i="4"/>
  <c r="V136" i="4"/>
  <c r="U135" i="4"/>
  <c r="R135" i="4"/>
  <c r="U134" i="4"/>
  <c r="U133" i="4"/>
  <c r="V133" i="4"/>
  <c r="U132" i="4"/>
  <c r="V132" i="4"/>
  <c r="R132" i="4"/>
  <c r="Q132" i="4"/>
  <c r="P132" i="4"/>
  <c r="U131" i="4"/>
  <c r="R131" i="4"/>
  <c r="Q131" i="4"/>
  <c r="P131" i="4"/>
  <c r="U130" i="4"/>
  <c r="U129" i="4"/>
  <c r="U128" i="4"/>
  <c r="R128" i="4"/>
  <c r="Q128" i="4"/>
  <c r="P128" i="4"/>
  <c r="U127" i="4"/>
  <c r="R127" i="4"/>
  <c r="Q127" i="4"/>
  <c r="P127" i="4"/>
  <c r="U126" i="4"/>
  <c r="U125" i="4"/>
  <c r="U124" i="4"/>
  <c r="V124" i="4"/>
  <c r="R124" i="4"/>
  <c r="Q124" i="4"/>
  <c r="P124" i="4"/>
  <c r="U123" i="4"/>
  <c r="R123" i="4"/>
  <c r="Q123" i="4"/>
  <c r="P123" i="4"/>
  <c r="U122" i="4"/>
  <c r="U121" i="4"/>
  <c r="V121" i="4"/>
  <c r="U120" i="4"/>
  <c r="V120" i="4"/>
  <c r="R120" i="4"/>
  <c r="Q120" i="4"/>
  <c r="P120" i="4"/>
  <c r="U119" i="4"/>
  <c r="R119" i="4"/>
  <c r="Q119" i="4"/>
  <c r="P119" i="4"/>
  <c r="U118" i="4"/>
  <c r="U117" i="4"/>
  <c r="V117" i="4"/>
  <c r="U116" i="4"/>
  <c r="V116" i="4"/>
  <c r="R116" i="4"/>
  <c r="Q116" i="4"/>
  <c r="P116" i="4"/>
  <c r="U115" i="4"/>
  <c r="R115" i="4"/>
  <c r="Q115" i="4"/>
  <c r="P115" i="4"/>
  <c r="U114" i="4"/>
  <c r="U113" i="4"/>
  <c r="U112" i="4"/>
  <c r="U111" i="4"/>
  <c r="V111" i="4"/>
  <c r="U110" i="4"/>
  <c r="V110" i="4"/>
  <c r="U109" i="4"/>
  <c r="V109" i="4"/>
  <c r="U108" i="4"/>
  <c r="U107" i="4"/>
  <c r="U106" i="4"/>
  <c r="U105" i="4"/>
  <c r="V105" i="4"/>
  <c r="U104" i="4"/>
  <c r="U103" i="4"/>
  <c r="V103" i="4"/>
  <c r="U102" i="4"/>
  <c r="V102" i="4"/>
  <c r="U101" i="4"/>
  <c r="U100" i="4"/>
  <c r="U99" i="4"/>
  <c r="V99" i="4"/>
  <c r="U98" i="4"/>
  <c r="V98" i="4"/>
  <c r="U97" i="4"/>
  <c r="V97" i="4"/>
  <c r="U96" i="4"/>
  <c r="V96" i="4"/>
  <c r="U95" i="4"/>
  <c r="U94" i="4"/>
  <c r="U93" i="4"/>
  <c r="V93" i="4"/>
  <c r="U92" i="4"/>
  <c r="U91" i="4"/>
  <c r="V91" i="4"/>
  <c r="U90" i="4"/>
  <c r="U89" i="4"/>
  <c r="V89" i="4"/>
  <c r="U88" i="4"/>
  <c r="U87" i="4"/>
  <c r="V87" i="4"/>
  <c r="U86" i="4"/>
  <c r="U85" i="4"/>
  <c r="V85" i="4"/>
  <c r="U84" i="4"/>
  <c r="U83" i="4"/>
  <c r="V83" i="4"/>
  <c r="U82" i="4"/>
  <c r="V82" i="4"/>
  <c r="U81" i="4"/>
  <c r="V81" i="4"/>
  <c r="U80" i="4"/>
  <c r="V80" i="4"/>
  <c r="U79" i="4"/>
  <c r="U78" i="4"/>
  <c r="U77" i="4"/>
  <c r="V77" i="4"/>
  <c r="U76" i="4"/>
  <c r="U75" i="4"/>
  <c r="U74" i="4"/>
  <c r="U73" i="4"/>
  <c r="U72" i="4"/>
  <c r="U71" i="4"/>
  <c r="V71" i="4"/>
  <c r="U70" i="4"/>
  <c r="V70" i="4"/>
  <c r="U69" i="4"/>
  <c r="V69" i="4"/>
  <c r="U68" i="4"/>
  <c r="U67" i="4"/>
  <c r="V67" i="4"/>
  <c r="U66" i="4"/>
  <c r="V66" i="4"/>
  <c r="U65" i="4"/>
  <c r="V65" i="4"/>
  <c r="U64" i="4"/>
  <c r="V64" i="4"/>
  <c r="U63" i="4"/>
  <c r="V63" i="4"/>
  <c r="U62" i="4"/>
  <c r="U61" i="4"/>
  <c r="V61" i="4"/>
  <c r="U60" i="4"/>
  <c r="U59" i="4"/>
  <c r="V59" i="4"/>
  <c r="U58" i="4"/>
  <c r="U57" i="4"/>
  <c r="U56" i="4"/>
  <c r="U55" i="4"/>
  <c r="V55" i="4"/>
  <c r="U54" i="4"/>
  <c r="V54" i="4"/>
  <c r="U53" i="4"/>
  <c r="V53" i="4"/>
  <c r="U52" i="4"/>
  <c r="U51" i="4"/>
  <c r="U50" i="4"/>
  <c r="V50" i="4"/>
  <c r="U49" i="4"/>
  <c r="V49" i="4"/>
  <c r="U48" i="4"/>
  <c r="V48" i="4"/>
  <c r="U47" i="4"/>
  <c r="V47" i="4"/>
  <c r="U46" i="4"/>
  <c r="U45" i="4"/>
  <c r="V45" i="4"/>
  <c r="U44" i="4"/>
  <c r="U43" i="4"/>
  <c r="U42" i="4"/>
  <c r="U41" i="4"/>
  <c r="V41" i="4"/>
  <c r="U40" i="4"/>
  <c r="U39" i="4"/>
  <c r="U38" i="4"/>
  <c r="V38" i="4"/>
  <c r="U37" i="4"/>
  <c r="V37" i="4"/>
  <c r="U36" i="4"/>
  <c r="U35" i="4"/>
  <c r="U34" i="4"/>
  <c r="V34" i="4"/>
  <c r="U33" i="4"/>
  <c r="V33" i="4"/>
  <c r="U32" i="4"/>
  <c r="U31" i="4"/>
  <c r="V31" i="4"/>
  <c r="U30" i="4"/>
  <c r="V30" i="4"/>
  <c r="U29" i="4"/>
  <c r="U28" i="4"/>
  <c r="U27" i="4"/>
  <c r="V27" i="4"/>
  <c r="U26" i="4"/>
  <c r="U25" i="4"/>
  <c r="V25" i="4"/>
  <c r="U24" i="4"/>
  <c r="U23" i="4"/>
  <c r="U22" i="4"/>
  <c r="V22" i="4"/>
  <c r="U21" i="4"/>
  <c r="U20" i="4"/>
  <c r="U19" i="4"/>
  <c r="V19" i="4"/>
  <c r="U18" i="4"/>
  <c r="U17" i="4"/>
  <c r="V17" i="4"/>
  <c r="U16" i="4"/>
  <c r="V16" i="4"/>
  <c r="U15" i="4"/>
  <c r="V15" i="4"/>
  <c r="U14" i="4"/>
  <c r="V14" i="4"/>
  <c r="U13" i="4"/>
  <c r="U12" i="4"/>
  <c r="U11" i="4"/>
  <c r="V11" i="4"/>
  <c r="U10" i="4"/>
  <c r="U9" i="4"/>
  <c r="V9" i="4"/>
  <c r="U8" i="4"/>
  <c r="U7" i="4"/>
  <c r="U6" i="4"/>
  <c r="V6" i="4"/>
  <c r="U5" i="4"/>
  <c r="V5" i="4"/>
  <c r="U4" i="4"/>
  <c r="V238" i="4" l="1"/>
  <c r="V13" i="4"/>
  <c r="V35" i="4"/>
  <c r="V46" i="4"/>
  <c r="V57" i="4"/>
  <c r="V79" i="4"/>
  <c r="V101" i="4"/>
  <c r="V112" i="4"/>
  <c r="V125" i="4"/>
  <c r="V255" i="4"/>
  <c r="V151" i="4"/>
  <c r="V160" i="4"/>
  <c r="V144" i="4"/>
  <c r="V215" i="4"/>
  <c r="V21" i="4"/>
  <c r="V7" i="4"/>
  <c r="V18" i="4"/>
  <c r="V29" i="4"/>
  <c r="V51" i="4"/>
  <c r="V62" i="4"/>
  <c r="V73" i="4"/>
  <c r="V95" i="4"/>
  <c r="V161" i="4"/>
  <c r="V201" i="4"/>
  <c r="V210" i="4"/>
  <c r="V86" i="4"/>
  <c r="V202" i="4"/>
  <c r="V129" i="4"/>
  <c r="V78" i="4"/>
  <c r="S199" i="4"/>
  <c r="V157" i="4"/>
  <c r="S195" i="4"/>
  <c r="V169" i="4"/>
  <c r="V94" i="4"/>
  <c r="V32" i="4"/>
  <c r="V43" i="4"/>
  <c r="V75" i="4"/>
  <c r="V107" i="4"/>
  <c r="V128" i="4"/>
  <c r="V153" i="4"/>
  <c r="V123" i="4"/>
  <c r="S202" i="4"/>
  <c r="V39" i="4"/>
  <c r="V42" i="4"/>
  <c r="V203" i="4"/>
  <c r="V106" i="4"/>
  <c r="V131" i="4"/>
  <c r="V199" i="4"/>
  <c r="V115" i="4"/>
  <c r="S179" i="4"/>
  <c r="V26" i="4"/>
  <c r="V208" i="4"/>
  <c r="V90" i="4"/>
  <c r="S171" i="4"/>
  <c r="V127" i="4"/>
  <c r="V192" i="4"/>
  <c r="V10" i="4"/>
  <c r="V74" i="4"/>
  <c r="V180" i="4"/>
  <c r="V58" i="4"/>
  <c r="V113" i="4"/>
  <c r="V177" i="4"/>
  <c r="S207" i="4"/>
  <c r="V23" i="4"/>
  <c r="V119" i="4"/>
  <c r="V137" i="4"/>
  <c r="S203" i="4"/>
  <c r="V244" i="4"/>
  <c r="V12" i="4"/>
  <c r="V28" i="4"/>
  <c r="V44" i="4"/>
  <c r="V60" i="4"/>
  <c r="V76" i="4"/>
  <c r="V92" i="4"/>
  <c r="V108" i="4"/>
  <c r="V181" i="4"/>
  <c r="V184" i="4"/>
  <c r="V8" i="4"/>
  <c r="V24" i="4"/>
  <c r="V40" i="4"/>
  <c r="V56" i="4"/>
  <c r="V72" i="4"/>
  <c r="V88" i="4"/>
  <c r="V104" i="4"/>
  <c r="V172" i="4"/>
  <c r="V4" i="4"/>
  <c r="V20" i="4"/>
  <c r="V36" i="4"/>
  <c r="V52" i="4"/>
  <c r="V68" i="4"/>
  <c r="V84" i="4"/>
  <c r="V100" i="4"/>
  <c r="V135" i="4"/>
  <c r="V163" i="4"/>
  <c r="V166" i="4"/>
  <c r="V193" i="4"/>
  <c r="V211" i="4"/>
  <c r="S163" i="4"/>
  <c r="V164" i="4"/>
  <c r="S174" i="4"/>
  <c r="V195" i="4"/>
  <c r="S206" i="4"/>
  <c r="S211" i="4"/>
  <c r="V212" i="4"/>
  <c r="V114" i="4"/>
  <c r="V118" i="4"/>
  <c r="V122" i="4"/>
  <c r="V126" i="4"/>
  <c r="V130" i="4"/>
  <c r="S132" i="4"/>
  <c r="V134" i="4"/>
  <c r="V162" i="4"/>
  <c r="V168" i="4"/>
  <c r="V171" i="4"/>
  <c r="V176" i="4"/>
  <c r="V186" i="4"/>
  <c r="V188" i="4"/>
  <c r="V196" i="4"/>
  <c r="V207" i="4"/>
  <c r="V221" i="4"/>
  <c r="V235" i="4"/>
  <c r="V237" i="4"/>
  <c r="V240" i="4"/>
  <c r="V243" i="4"/>
  <c r="V246" i="4"/>
  <c r="V249" i="4"/>
  <c r="V252" i="4"/>
  <c r="V234" i="4"/>
  <c r="V242" i="4"/>
  <c r="V245" i="4"/>
  <c r="V254" i="4"/>
  <c r="S116" i="4"/>
  <c r="S120" i="4"/>
  <c r="S124" i="4"/>
  <c r="S128" i="4"/>
  <c r="Q9" i="4"/>
  <c r="P9" i="4"/>
  <c r="R9" i="4"/>
  <c r="Q25" i="4"/>
  <c r="P25" i="4"/>
  <c r="R25" i="4"/>
  <c r="Q49" i="4"/>
  <c r="P49" i="4"/>
  <c r="R49" i="4"/>
  <c r="Q11" i="4"/>
  <c r="P11" i="4"/>
  <c r="R11" i="4"/>
  <c r="Q43" i="4"/>
  <c r="P43" i="4"/>
  <c r="R43" i="4"/>
  <c r="Q5" i="4"/>
  <c r="P5" i="4"/>
  <c r="R5" i="4"/>
  <c r="Q13" i="4"/>
  <c r="P13" i="4"/>
  <c r="R13" i="4"/>
  <c r="Q21" i="4"/>
  <c r="P21" i="4"/>
  <c r="R21" i="4"/>
  <c r="Q29" i="4"/>
  <c r="P29" i="4"/>
  <c r="R29" i="4"/>
  <c r="Q37" i="4"/>
  <c r="P37" i="4"/>
  <c r="R37" i="4"/>
  <c r="Q45" i="4"/>
  <c r="P45" i="4"/>
  <c r="R45" i="4"/>
  <c r="Q17" i="4"/>
  <c r="P17" i="4"/>
  <c r="R17" i="4"/>
  <c r="Q33" i="4"/>
  <c r="P33" i="4"/>
  <c r="R33" i="4"/>
  <c r="Q41" i="4"/>
  <c r="P41" i="4"/>
  <c r="R41" i="4"/>
  <c r="Q19" i="4"/>
  <c r="P19" i="4"/>
  <c r="R19" i="4"/>
  <c r="Q27" i="4"/>
  <c r="P27" i="4"/>
  <c r="R27" i="4"/>
  <c r="Q35" i="4"/>
  <c r="P35" i="4"/>
  <c r="R35" i="4"/>
  <c r="Q7" i="4"/>
  <c r="P7" i="4"/>
  <c r="R7" i="4"/>
  <c r="Q15" i="4"/>
  <c r="P15" i="4"/>
  <c r="R15" i="4"/>
  <c r="Q23" i="4"/>
  <c r="P23" i="4"/>
  <c r="R23" i="4"/>
  <c r="Q31" i="4"/>
  <c r="P31" i="4"/>
  <c r="R31" i="4"/>
  <c r="Q39" i="4"/>
  <c r="P39" i="4"/>
  <c r="R39" i="4"/>
  <c r="Q47" i="4"/>
  <c r="P47" i="4"/>
  <c r="R47" i="4"/>
  <c r="Q51" i="4"/>
  <c r="P51" i="4"/>
  <c r="Q53" i="4"/>
  <c r="P53" i="4"/>
  <c r="Q55" i="4"/>
  <c r="P55" i="4"/>
  <c r="Q57" i="4"/>
  <c r="P57" i="4"/>
  <c r="Q59" i="4"/>
  <c r="P59" i="4"/>
  <c r="Q61" i="4"/>
  <c r="P61" i="4"/>
  <c r="Q63" i="4"/>
  <c r="P63" i="4"/>
  <c r="Q65" i="4"/>
  <c r="P65" i="4"/>
  <c r="Q67" i="4"/>
  <c r="P67" i="4"/>
  <c r="Q69" i="4"/>
  <c r="P69" i="4"/>
  <c r="Q71" i="4"/>
  <c r="P71" i="4"/>
  <c r="Q73" i="4"/>
  <c r="P73" i="4"/>
  <c r="Q75" i="4"/>
  <c r="P75" i="4"/>
  <c r="Q77" i="4"/>
  <c r="P77" i="4"/>
  <c r="Q79" i="4"/>
  <c r="P79" i="4"/>
  <c r="Q81" i="4"/>
  <c r="P81" i="4"/>
  <c r="Q83" i="4"/>
  <c r="P83" i="4"/>
  <c r="Q85" i="4"/>
  <c r="P85" i="4"/>
  <c r="Q87" i="4"/>
  <c r="P87" i="4"/>
  <c r="Q89" i="4"/>
  <c r="P89" i="4"/>
  <c r="Q91" i="4"/>
  <c r="P91" i="4"/>
  <c r="Q93" i="4"/>
  <c r="P93" i="4"/>
  <c r="Q95" i="4"/>
  <c r="P95" i="4"/>
  <c r="Q97" i="4"/>
  <c r="P97" i="4"/>
  <c r="Q99" i="4"/>
  <c r="P99" i="4"/>
  <c r="Q101" i="4"/>
  <c r="P101" i="4"/>
  <c r="Q103" i="4"/>
  <c r="P103" i="4"/>
  <c r="Q105" i="4"/>
  <c r="P105" i="4"/>
  <c r="Q107" i="4"/>
  <c r="P107" i="4"/>
  <c r="Q109" i="4"/>
  <c r="P109" i="4"/>
  <c r="Q111" i="4"/>
  <c r="P111" i="4"/>
  <c r="P113" i="4"/>
  <c r="R113" i="4"/>
  <c r="Q113" i="4"/>
  <c r="P114" i="4"/>
  <c r="R114" i="4"/>
  <c r="P122" i="4"/>
  <c r="R122" i="4"/>
  <c r="P130" i="4"/>
  <c r="R130" i="4"/>
  <c r="Q136" i="4"/>
  <c r="P136" i="4"/>
  <c r="R136" i="4"/>
  <c r="Q140" i="4"/>
  <c r="P140" i="4"/>
  <c r="R140" i="4"/>
  <c r="Q144" i="4"/>
  <c r="P144" i="4"/>
  <c r="R144" i="4"/>
  <c r="Q148" i="4"/>
  <c r="P148" i="4"/>
  <c r="R148" i="4"/>
  <c r="Q152" i="4"/>
  <c r="P152" i="4"/>
  <c r="R152" i="4"/>
  <c r="Q156" i="4"/>
  <c r="P156" i="4"/>
  <c r="R156" i="4"/>
  <c r="Q160" i="4"/>
  <c r="P160" i="4"/>
  <c r="R160" i="4"/>
  <c r="R233" i="4"/>
  <c r="Q233" i="4"/>
  <c r="P233" i="4"/>
  <c r="R53" i="4"/>
  <c r="R59" i="4"/>
  <c r="R61" i="4"/>
  <c r="R65" i="4"/>
  <c r="R69" i="4"/>
  <c r="R73" i="4"/>
  <c r="R75" i="4"/>
  <c r="R77" i="4"/>
  <c r="R85" i="4"/>
  <c r="R87" i="4"/>
  <c r="R91" i="4"/>
  <c r="R95" i="4"/>
  <c r="R97" i="4"/>
  <c r="R99" i="4"/>
  <c r="R101" i="4"/>
  <c r="R105" i="4"/>
  <c r="R107" i="4"/>
  <c r="R111" i="4"/>
  <c r="Q114" i="4"/>
  <c r="P117" i="4"/>
  <c r="R117" i="4"/>
  <c r="Q117" i="4"/>
  <c r="P133" i="4"/>
  <c r="R133" i="4"/>
  <c r="Q133" i="4"/>
  <c r="S166" i="4"/>
  <c r="Q4" i="4"/>
  <c r="P4" i="4"/>
  <c r="Q8" i="4"/>
  <c r="P8" i="4"/>
  <c r="Q12" i="4"/>
  <c r="P12" i="4"/>
  <c r="Q16" i="4"/>
  <c r="P16" i="4"/>
  <c r="Q20" i="4"/>
  <c r="P20" i="4"/>
  <c r="Q24" i="4"/>
  <c r="P24" i="4"/>
  <c r="Q28" i="4"/>
  <c r="P28" i="4"/>
  <c r="Q32" i="4"/>
  <c r="P32" i="4"/>
  <c r="Q34" i="4"/>
  <c r="P34" i="4"/>
  <c r="Q38" i="4"/>
  <c r="P38" i="4"/>
  <c r="Q40" i="4"/>
  <c r="P40" i="4"/>
  <c r="Q42" i="4"/>
  <c r="P42" i="4"/>
  <c r="Q44" i="4"/>
  <c r="P44" i="4"/>
  <c r="Q46" i="4"/>
  <c r="P46" i="4"/>
  <c r="Q48" i="4"/>
  <c r="P48" i="4"/>
  <c r="Q50" i="4"/>
  <c r="P50" i="4"/>
  <c r="Q52" i="4"/>
  <c r="P52" i="4"/>
  <c r="Q54" i="4"/>
  <c r="P54" i="4"/>
  <c r="Q56" i="4"/>
  <c r="P56" i="4"/>
  <c r="Q58" i="4"/>
  <c r="P58" i="4"/>
  <c r="Q60" i="4"/>
  <c r="P60" i="4"/>
  <c r="Q62" i="4"/>
  <c r="P62" i="4"/>
  <c r="Q64" i="4"/>
  <c r="P64" i="4"/>
  <c r="Q66" i="4"/>
  <c r="P66" i="4"/>
  <c r="Q68" i="4"/>
  <c r="P68" i="4"/>
  <c r="Q70" i="4"/>
  <c r="P70" i="4"/>
  <c r="Q72" i="4"/>
  <c r="P72" i="4"/>
  <c r="Q74" i="4"/>
  <c r="P74" i="4"/>
  <c r="Q76" i="4"/>
  <c r="P76" i="4"/>
  <c r="Q78" i="4"/>
  <c r="P78" i="4"/>
  <c r="Q80" i="4"/>
  <c r="P80" i="4"/>
  <c r="Q82" i="4"/>
  <c r="P82" i="4"/>
  <c r="Q84" i="4"/>
  <c r="P84" i="4"/>
  <c r="Q86" i="4"/>
  <c r="P86" i="4"/>
  <c r="Q88" i="4"/>
  <c r="P88" i="4"/>
  <c r="Q90" i="4"/>
  <c r="P90" i="4"/>
  <c r="Q92" i="4"/>
  <c r="P92" i="4"/>
  <c r="Q94" i="4"/>
  <c r="P94" i="4"/>
  <c r="Q96" i="4"/>
  <c r="P96" i="4"/>
  <c r="Q98" i="4"/>
  <c r="P98" i="4"/>
  <c r="Q100" i="4"/>
  <c r="P100" i="4"/>
  <c r="Q102" i="4"/>
  <c r="P102" i="4"/>
  <c r="Q104" i="4"/>
  <c r="P104" i="4"/>
  <c r="Q106" i="4"/>
  <c r="P106" i="4"/>
  <c r="Q108" i="4"/>
  <c r="P108" i="4"/>
  <c r="Q110" i="4"/>
  <c r="P110" i="4"/>
  <c r="Q112" i="4"/>
  <c r="P112" i="4"/>
  <c r="P118" i="4"/>
  <c r="R118" i="4"/>
  <c r="P126" i="4"/>
  <c r="R126" i="4"/>
  <c r="P134" i="4"/>
  <c r="R134" i="4"/>
  <c r="Q138" i="4"/>
  <c r="P138" i="4"/>
  <c r="R138" i="4"/>
  <c r="Q142" i="4"/>
  <c r="P142" i="4"/>
  <c r="R142" i="4"/>
  <c r="Q146" i="4"/>
  <c r="P146" i="4"/>
  <c r="R146" i="4"/>
  <c r="Q150" i="4"/>
  <c r="P150" i="4"/>
  <c r="R150" i="4"/>
  <c r="Q154" i="4"/>
  <c r="P154" i="4"/>
  <c r="R154" i="4"/>
  <c r="Q158" i="4"/>
  <c r="P158" i="4"/>
  <c r="R158" i="4"/>
  <c r="Q162" i="4"/>
  <c r="P162" i="4"/>
  <c r="R162" i="4"/>
  <c r="S190" i="4"/>
  <c r="R217" i="4"/>
  <c r="Q217" i="4"/>
  <c r="P217" i="4"/>
  <c r="R237" i="4"/>
  <c r="Q237" i="4"/>
  <c r="P237" i="4"/>
  <c r="R51" i="4"/>
  <c r="S51" i="4" s="1"/>
  <c r="R55" i="4"/>
  <c r="R57" i="4"/>
  <c r="R63" i="4"/>
  <c r="R67" i="4"/>
  <c r="R71" i="4"/>
  <c r="R79" i="4"/>
  <c r="R81" i="4"/>
  <c r="R83" i="4"/>
  <c r="R89" i="4"/>
  <c r="R93" i="4"/>
  <c r="R103" i="4"/>
  <c r="R109" i="4"/>
  <c r="Q122" i="4"/>
  <c r="P125" i="4"/>
  <c r="R125" i="4"/>
  <c r="Q125" i="4"/>
  <c r="Q130" i="4"/>
  <c r="Q6" i="4"/>
  <c r="P6" i="4"/>
  <c r="Q10" i="4"/>
  <c r="P10" i="4"/>
  <c r="Q14" i="4"/>
  <c r="P14" i="4"/>
  <c r="Q18" i="4"/>
  <c r="P18" i="4"/>
  <c r="Q22" i="4"/>
  <c r="P22" i="4"/>
  <c r="Q26" i="4"/>
  <c r="P26" i="4"/>
  <c r="Q30" i="4"/>
  <c r="P30" i="4"/>
  <c r="Q36" i="4"/>
  <c r="P36" i="4"/>
  <c r="R4" i="4"/>
  <c r="R6" i="4"/>
  <c r="R8" i="4"/>
  <c r="R10" i="4"/>
  <c r="R12" i="4"/>
  <c r="R14" i="4"/>
  <c r="R16" i="4"/>
  <c r="R18" i="4"/>
  <c r="R20" i="4"/>
  <c r="R22" i="4"/>
  <c r="R24" i="4"/>
  <c r="R26" i="4"/>
  <c r="R28" i="4"/>
  <c r="R30" i="4"/>
  <c r="R32" i="4"/>
  <c r="R34" i="4"/>
  <c r="R36" i="4"/>
  <c r="R38" i="4"/>
  <c r="R40" i="4"/>
  <c r="R42" i="4"/>
  <c r="R44" i="4"/>
  <c r="R46" i="4"/>
  <c r="R48" i="4"/>
  <c r="R50" i="4"/>
  <c r="R52" i="4"/>
  <c r="R54" i="4"/>
  <c r="R56" i="4"/>
  <c r="R58" i="4"/>
  <c r="R60" i="4"/>
  <c r="R62" i="4"/>
  <c r="R64" i="4"/>
  <c r="R66" i="4"/>
  <c r="R68" i="4"/>
  <c r="R70" i="4"/>
  <c r="R72" i="4"/>
  <c r="R74" i="4"/>
  <c r="R76" i="4"/>
  <c r="R78" i="4"/>
  <c r="R80" i="4"/>
  <c r="R82" i="4"/>
  <c r="R84" i="4"/>
  <c r="R86" i="4"/>
  <c r="R88" i="4"/>
  <c r="R90" i="4"/>
  <c r="R92" i="4"/>
  <c r="R94" i="4"/>
  <c r="R96" i="4"/>
  <c r="R98" i="4"/>
  <c r="R100" i="4"/>
  <c r="R102" i="4"/>
  <c r="R104" i="4"/>
  <c r="R106" i="4"/>
  <c r="R108" i="4"/>
  <c r="R110" i="4"/>
  <c r="R112" i="4"/>
  <c r="Q118" i="4"/>
  <c r="P121" i="4"/>
  <c r="R121" i="4"/>
  <c r="Q121" i="4"/>
  <c r="Q126" i="4"/>
  <c r="P129" i="4"/>
  <c r="R129" i="4"/>
  <c r="Q129" i="4"/>
  <c r="Q134" i="4"/>
  <c r="S182" i="4"/>
  <c r="R227" i="4"/>
  <c r="Q227" i="4"/>
  <c r="P227" i="4"/>
  <c r="R236" i="4"/>
  <c r="Q236" i="4"/>
  <c r="P236" i="4"/>
  <c r="S115" i="4"/>
  <c r="S119" i="4"/>
  <c r="S123" i="4"/>
  <c r="S127" i="4"/>
  <c r="S131" i="4"/>
  <c r="S198" i="4"/>
  <c r="S214" i="4"/>
  <c r="R219" i="4"/>
  <c r="Q219" i="4"/>
  <c r="P219" i="4"/>
  <c r="Q135" i="4"/>
  <c r="P135" i="4"/>
  <c r="Q137" i="4"/>
  <c r="P137" i="4"/>
  <c r="Q139" i="4"/>
  <c r="P139" i="4"/>
  <c r="Q141" i="4"/>
  <c r="P141" i="4"/>
  <c r="Q143" i="4"/>
  <c r="P143" i="4"/>
  <c r="Q145" i="4"/>
  <c r="P145" i="4"/>
  <c r="Q147" i="4"/>
  <c r="P147" i="4"/>
  <c r="Q149" i="4"/>
  <c r="P149" i="4"/>
  <c r="Q151" i="4"/>
  <c r="P151" i="4"/>
  <c r="Q153" i="4"/>
  <c r="P153" i="4"/>
  <c r="Q155" i="4"/>
  <c r="P155" i="4"/>
  <c r="Q157" i="4"/>
  <c r="P157" i="4"/>
  <c r="Q159" i="4"/>
  <c r="P159" i="4"/>
  <c r="Q161" i="4"/>
  <c r="P161" i="4"/>
  <c r="S167" i="4"/>
  <c r="V167" i="4"/>
  <c r="S170" i="4"/>
  <c r="S175" i="4"/>
  <c r="V175" i="4"/>
  <c r="S178" i="4"/>
  <c r="S183" i="4"/>
  <c r="V183" i="4"/>
  <c r="S186" i="4"/>
  <c r="S191" i="4"/>
  <c r="V191" i="4"/>
  <c r="S194" i="4"/>
  <c r="S210" i="4"/>
  <c r="R225" i="4"/>
  <c r="Q225" i="4"/>
  <c r="P225" i="4"/>
  <c r="R248" i="4"/>
  <c r="Q248" i="4"/>
  <c r="R249" i="4"/>
  <c r="Q249" i="4"/>
  <c r="P249" i="4"/>
  <c r="R252" i="4"/>
  <c r="Q252" i="4"/>
  <c r="P252" i="4"/>
  <c r="S165" i="4"/>
  <c r="S169" i="4"/>
  <c r="S173" i="4"/>
  <c r="S177" i="4"/>
  <c r="S181" i="4"/>
  <c r="S185" i="4"/>
  <c r="S189" i="4"/>
  <c r="S193" i="4"/>
  <c r="S197" i="4"/>
  <c r="S201" i="4"/>
  <c r="S205" i="4"/>
  <c r="S209" i="4"/>
  <c r="S213" i="4"/>
  <c r="R221" i="4"/>
  <c r="Q221" i="4"/>
  <c r="P221" i="4"/>
  <c r="R229" i="4"/>
  <c r="Q229" i="4"/>
  <c r="P229" i="4"/>
  <c r="R240" i="4"/>
  <c r="Q240" i="4"/>
  <c r="R241" i="4"/>
  <c r="Q241" i="4"/>
  <c r="P241" i="4"/>
  <c r="S164" i="4"/>
  <c r="S168" i="4"/>
  <c r="S172" i="4"/>
  <c r="S176" i="4"/>
  <c r="S180" i="4"/>
  <c r="S184" i="4"/>
  <c r="S188" i="4"/>
  <c r="S192" i="4"/>
  <c r="S196" i="4"/>
  <c r="S200" i="4"/>
  <c r="S204" i="4"/>
  <c r="S208" i="4"/>
  <c r="S212" i="4"/>
  <c r="R215" i="4"/>
  <c r="Q215" i="4"/>
  <c r="P215" i="4"/>
  <c r="R223" i="4"/>
  <c r="Q223" i="4"/>
  <c r="P223" i="4"/>
  <c r="R231" i="4"/>
  <c r="Q231" i="4"/>
  <c r="P231" i="4"/>
  <c r="P240" i="4"/>
  <c r="R244" i="4"/>
  <c r="Q244" i="4"/>
  <c r="R245" i="4"/>
  <c r="Q245" i="4"/>
  <c r="P245" i="4"/>
  <c r="R253" i="4"/>
  <c r="Q253" i="4"/>
  <c r="P256" i="4"/>
  <c r="S216" i="4"/>
  <c r="S218" i="4"/>
  <c r="S220" i="4"/>
  <c r="S222" i="4"/>
  <c r="S224" i="4"/>
  <c r="S226" i="4"/>
  <c r="S228" i="4"/>
  <c r="S230" i="4"/>
  <c r="S232" i="4"/>
  <c r="R234" i="4"/>
  <c r="Q234" i="4"/>
  <c r="R238" i="4"/>
  <c r="Q238" i="4"/>
  <c r="R242" i="4"/>
  <c r="Q242" i="4"/>
  <c r="R246" i="4"/>
  <c r="Q246" i="4"/>
  <c r="R250" i="4"/>
  <c r="Q250" i="4"/>
  <c r="P253" i="4"/>
  <c r="R254" i="4"/>
  <c r="Q254" i="4"/>
  <c r="V214" i="4"/>
  <c r="V216" i="4"/>
  <c r="V218" i="4"/>
  <c r="V220" i="4"/>
  <c r="V222" i="4"/>
  <c r="V224" i="4"/>
  <c r="V226" i="4"/>
  <c r="V228" i="4"/>
  <c r="V230" i="4"/>
  <c r="V232" i="4"/>
  <c r="R235" i="4"/>
  <c r="Q235" i="4"/>
  <c r="R239" i="4"/>
  <c r="Q239" i="4"/>
  <c r="R243" i="4"/>
  <c r="Q243" i="4"/>
  <c r="R247" i="4"/>
  <c r="Q247" i="4"/>
  <c r="R251" i="4"/>
  <c r="Q251" i="4"/>
  <c r="R255" i="4"/>
  <c r="Q255" i="4"/>
  <c r="S255" i="4" s="1"/>
  <c r="R256" i="4"/>
  <c r="Q256" i="4"/>
  <c r="S114" i="4" l="1"/>
  <c r="S244" i="4"/>
  <c r="S107" i="4"/>
  <c r="S99" i="4"/>
  <c r="S130" i="4"/>
  <c r="S75" i="4"/>
  <c r="S95" i="4"/>
  <c r="S233" i="4"/>
  <c r="S158" i="4"/>
  <c r="S83" i="4"/>
  <c r="S91" i="4"/>
  <c r="S45" i="4"/>
  <c r="S39" i="4"/>
  <c r="S23" i="4"/>
  <c r="S59" i="4"/>
  <c r="S17" i="4"/>
  <c r="S15" i="4"/>
  <c r="S142" i="4"/>
  <c r="S7" i="4"/>
  <c r="S47" i="4"/>
  <c r="S21" i="4"/>
  <c r="S126" i="4"/>
  <c r="S67" i="4"/>
  <c r="S31" i="4"/>
  <c r="S62" i="4"/>
  <c r="S256" i="4"/>
  <c r="S246" i="4"/>
  <c r="S238" i="4"/>
  <c r="S30" i="4"/>
  <c r="S22" i="4"/>
  <c r="S217" i="4"/>
  <c r="S162" i="4"/>
  <c r="S113" i="4"/>
  <c r="S105" i="4"/>
  <c r="S97" i="4"/>
  <c r="S35" i="4"/>
  <c r="S5" i="4"/>
  <c r="S134" i="4"/>
  <c r="S118" i="4"/>
  <c r="S133" i="4"/>
  <c r="S160" i="4"/>
  <c r="S144" i="4"/>
  <c r="S9" i="4"/>
  <c r="S229" i="4"/>
  <c r="S248" i="4"/>
  <c r="S219" i="4"/>
  <c r="S236" i="4"/>
  <c r="S227" i="4"/>
  <c r="S125" i="4"/>
  <c r="S94" i="4"/>
  <c r="S41" i="4"/>
  <c r="S37" i="4"/>
  <c r="S43" i="4"/>
  <c r="S25" i="4"/>
  <c r="S245" i="4"/>
  <c r="S159" i="4"/>
  <c r="S151" i="4"/>
  <c r="S143" i="4"/>
  <c r="S135" i="4"/>
  <c r="S240" i="4"/>
  <c r="S241" i="4"/>
  <c r="S249" i="4"/>
  <c r="S237" i="4"/>
  <c r="S150" i="4"/>
  <c r="S110" i="4"/>
  <c r="S78" i="4"/>
  <c r="S152" i="4"/>
  <c r="S136" i="4"/>
  <c r="S19" i="4"/>
  <c r="S13" i="4"/>
  <c r="S155" i="4"/>
  <c r="S251" i="4"/>
  <c r="S243" i="4"/>
  <c r="S235" i="4"/>
  <c r="S254" i="4"/>
  <c r="S253" i="4"/>
  <c r="S252" i="4"/>
  <c r="S14" i="4"/>
  <c r="S6" i="4"/>
  <c r="S154" i="4"/>
  <c r="S138" i="4"/>
  <c r="S102" i="4"/>
  <c r="S70" i="4"/>
  <c r="S117" i="4"/>
  <c r="S156" i="4"/>
  <c r="S140" i="4"/>
  <c r="S27" i="4"/>
  <c r="S29" i="4"/>
  <c r="S48" i="4"/>
  <c r="S40" i="4"/>
  <c r="S34" i="4"/>
  <c r="S109" i="4"/>
  <c r="S101" i="4"/>
  <c r="S93" i="4"/>
  <c r="S89" i="4"/>
  <c r="S85" i="4"/>
  <c r="S81" i="4"/>
  <c r="S77" i="4"/>
  <c r="S73" i="4"/>
  <c r="S69" i="4"/>
  <c r="S65" i="4"/>
  <c r="S61" i="4"/>
  <c r="S57" i="4"/>
  <c r="S53" i="4"/>
  <c r="S49" i="4"/>
  <c r="S147" i="4"/>
  <c r="S139" i="4"/>
  <c r="S146" i="4"/>
  <c r="S86" i="4"/>
  <c r="S54" i="4"/>
  <c r="S148" i="4"/>
  <c r="S122" i="4"/>
  <c r="S111" i="4"/>
  <c r="S103" i="4"/>
  <c r="S87" i="4"/>
  <c r="S79" i="4"/>
  <c r="S71" i="4"/>
  <c r="S63" i="4"/>
  <c r="S55" i="4"/>
  <c r="S33" i="4"/>
  <c r="S11" i="4"/>
  <c r="S44" i="4"/>
  <c r="S28" i="4"/>
  <c r="S20" i="4"/>
  <c r="S12" i="4"/>
  <c r="S4" i="4"/>
  <c r="S112" i="4"/>
  <c r="S104" i="4"/>
  <c r="S64" i="4"/>
  <c r="S56" i="4"/>
  <c r="S247" i="4"/>
  <c r="S239" i="4"/>
  <c r="S231" i="4"/>
  <c r="S223" i="4"/>
  <c r="S225" i="4"/>
  <c r="S161" i="4"/>
  <c r="S157" i="4"/>
  <c r="S153" i="4"/>
  <c r="S149" i="4"/>
  <c r="S145" i="4"/>
  <c r="S141" i="4"/>
  <c r="S137" i="4"/>
  <c r="S129" i="4"/>
  <c r="S121" i="4"/>
  <c r="S36" i="4"/>
  <c r="S26" i="4"/>
  <c r="S18" i="4"/>
  <c r="S10" i="4"/>
  <c r="S106" i="4"/>
  <c r="S98" i="4"/>
  <c r="S90" i="4"/>
  <c r="S82" i="4"/>
  <c r="S74" i="4"/>
  <c r="S66" i="4"/>
  <c r="S58" i="4"/>
  <c r="S50" i="4"/>
  <c r="S46" i="4"/>
  <c r="S42" i="4"/>
  <c r="S38" i="4"/>
  <c r="S32" i="4"/>
  <c r="S24" i="4"/>
  <c r="S16" i="4"/>
  <c r="S8" i="4"/>
  <c r="S215" i="4"/>
  <c r="S96" i="4"/>
  <c r="S88" i="4"/>
  <c r="S80" i="4"/>
  <c r="S72" i="4"/>
  <c r="S250" i="4"/>
  <c r="S242" i="4"/>
  <c r="S234" i="4"/>
  <c r="S221" i="4"/>
  <c r="S108" i="4"/>
  <c r="S100" i="4"/>
  <c r="S92" i="4"/>
  <c r="S84" i="4"/>
  <c r="S76" i="4"/>
  <c r="S68" i="4"/>
  <c r="S60" i="4"/>
  <c r="S52" i="4"/>
</calcChain>
</file>

<file path=xl/sharedStrings.xml><?xml version="1.0" encoding="utf-8"?>
<sst xmlns="http://schemas.openxmlformats.org/spreadsheetml/2006/main" count="3799" uniqueCount="470">
  <si>
    <t>year</t>
  </si>
  <si>
    <t>inter-pole</t>
  </si>
  <si>
    <t>row</t>
  </si>
  <si>
    <t>tree</t>
  </si>
  <si>
    <t>rootstock</t>
  </si>
  <si>
    <t>DGuy</t>
  </si>
  <si>
    <t>M9</t>
  </si>
  <si>
    <t>G213</t>
  </si>
  <si>
    <t>CG5257</t>
  </si>
  <si>
    <t>G969</t>
  </si>
  <si>
    <t>G41</t>
  </si>
  <si>
    <t>Bib</t>
  </si>
  <si>
    <t>Guy</t>
  </si>
  <si>
    <t>Spi</t>
  </si>
  <si>
    <t>tree/ha</t>
  </si>
  <si>
    <t>Bibaum</t>
  </si>
  <si>
    <t>Guyot</t>
  </si>
  <si>
    <t>Spindle</t>
  </si>
  <si>
    <t>L</t>
  </si>
  <si>
    <t>a</t>
  </si>
  <si>
    <t>b</t>
  </si>
  <si>
    <t>C</t>
  </si>
  <si>
    <t>Calculated</t>
  </si>
  <si>
    <t>Rootstock</t>
  </si>
  <si>
    <t>Annotation</t>
  </si>
  <si>
    <t>Latitiude</t>
  </si>
  <si>
    <t>Longitude</t>
  </si>
  <si>
    <t>Zenith</t>
  </si>
  <si>
    <t>Fb</t>
  </si>
  <si>
    <t>K</t>
  </si>
  <si>
    <t>Tau</t>
  </si>
  <si>
    <t>LAI</t>
  </si>
  <si>
    <t>BLW</t>
  </si>
  <si>
    <t>Bknoots</t>
  </si>
  <si>
    <t>TCSA1</t>
  </si>
  <si>
    <t>TCSA2</t>
  </si>
  <si>
    <t>SuckerN</t>
  </si>
  <si>
    <t>training</t>
  </si>
  <si>
    <t>trainingsystem</t>
  </si>
  <si>
    <t>nr.fruit</t>
  </si>
  <si>
    <t>DoubleGuyot</t>
  </si>
  <si>
    <t>DatafromLP-80</t>
  </si>
  <si>
    <t>RecordType</t>
  </si>
  <si>
    <t>DateandTime</t>
  </si>
  <si>
    <t>AverageAbovePAR</t>
  </si>
  <si>
    <t>AverageBelowPAR</t>
  </si>
  <si>
    <t>Tau[Т]</t>
  </si>
  <si>
    <t>LeafAreaIndex[LAI]</t>
  </si>
  <si>
    <t>LeafDistribution[χ]</t>
  </si>
  <si>
    <t>BeamFraction[Fb]</t>
  </si>
  <si>
    <t>ZenithAngle</t>
  </si>
  <si>
    <t>Lightintercepted(%)</t>
  </si>
  <si>
    <t>29/07/202512:16:53</t>
  </si>
  <si>
    <t>29/07/202512:17:05</t>
  </si>
  <si>
    <t>29/07/202512:17:13</t>
  </si>
  <si>
    <t>29/07/202512:17:49</t>
  </si>
  <si>
    <t>29/07/202512:18:03</t>
  </si>
  <si>
    <t>29/07/202512:18:12</t>
  </si>
  <si>
    <t>29/07/202512:18:18</t>
  </si>
  <si>
    <t>29/07/202512:18:26</t>
  </si>
  <si>
    <t>29/07/202512:18:34</t>
  </si>
  <si>
    <t>29/07/202512:18:47</t>
  </si>
  <si>
    <t>29/07/202512:18:53</t>
  </si>
  <si>
    <t>29/07/202512:19:50</t>
  </si>
  <si>
    <t>29/07/202512:20:00</t>
  </si>
  <si>
    <t>29/07/202512:20:06</t>
  </si>
  <si>
    <t>29/07/202512:20:13</t>
  </si>
  <si>
    <t>29/07/202512:20:20</t>
  </si>
  <si>
    <t>29/07/202512:20:29</t>
  </si>
  <si>
    <t>29/07/202512:20:37</t>
  </si>
  <si>
    <t>29/07/202512:20:47</t>
  </si>
  <si>
    <t>29/07/202512:20:53</t>
  </si>
  <si>
    <t>29/07/202512:21:01</t>
  </si>
  <si>
    <t>29/07/202512:21:13</t>
  </si>
  <si>
    <t>29/07/202512:21:49</t>
  </si>
  <si>
    <t>29/07/202512:21:55</t>
  </si>
  <si>
    <t>29/07/202512:22:01</t>
  </si>
  <si>
    <t>29/07/202512:22:10</t>
  </si>
  <si>
    <t>29/07/202512:22:16</t>
  </si>
  <si>
    <t>29/07/202512:22:23</t>
  </si>
  <si>
    <t>29/07/202512:22:30</t>
  </si>
  <si>
    <t>29/07/202512:22:35</t>
  </si>
  <si>
    <t>29/07/202512:22:51</t>
  </si>
  <si>
    <t>29/07/202512:23:32</t>
  </si>
  <si>
    <t>29/07/202512:23:35</t>
  </si>
  <si>
    <t>29/07/202512:23:40</t>
  </si>
  <si>
    <t>29/07/202512:23:47</t>
  </si>
  <si>
    <t>29/07/202512:23:54</t>
  </si>
  <si>
    <t>29/07/202512:24:00</t>
  </si>
  <si>
    <t>29/07/202512:24:07</t>
  </si>
  <si>
    <t>29/07/202512:24:15</t>
  </si>
  <si>
    <t>29/07/202512:24:29</t>
  </si>
  <si>
    <t>29/07/202512:24:36</t>
  </si>
  <si>
    <t>29/07/202512:25:09</t>
  </si>
  <si>
    <t>29/07/202512:25:14</t>
  </si>
  <si>
    <t>29/07/202512:25:22</t>
  </si>
  <si>
    <t>29/07/202512:25:29</t>
  </si>
  <si>
    <t>29/07/202512:25:37</t>
  </si>
  <si>
    <t>29/07/202512:25:46</t>
  </si>
  <si>
    <t>29/07/202512:25:52</t>
  </si>
  <si>
    <t>29/07/202512:26:00</t>
  </si>
  <si>
    <t>29/07/202512:26:09</t>
  </si>
  <si>
    <t>29/07/202512:26:28</t>
  </si>
  <si>
    <t>29/07/202512:26:46</t>
  </si>
  <si>
    <t>29/07/202512:26:53</t>
  </si>
  <si>
    <t>29/07/202512:26:59</t>
  </si>
  <si>
    <t>29/07/202512:27:06</t>
  </si>
  <si>
    <t>29/07/202512:27:13</t>
  </si>
  <si>
    <t>29/07/202512:27:20</t>
  </si>
  <si>
    <t>29/07/202512:27:27</t>
  </si>
  <si>
    <t>29/07/202512:27:37</t>
  </si>
  <si>
    <t>29/07/202512:27:46</t>
  </si>
  <si>
    <t>29/07/202512:27:52</t>
  </si>
  <si>
    <t>29/07/202512:27:59</t>
  </si>
  <si>
    <t>29/07/202512:29:15</t>
  </si>
  <si>
    <t>29/07/202512:29:18</t>
  </si>
  <si>
    <t>29/07/202512:29:25</t>
  </si>
  <si>
    <t>29/07/202512:29:31</t>
  </si>
  <si>
    <t>29/07/202512:29:37</t>
  </si>
  <si>
    <t>29/07/202512:29:43</t>
  </si>
  <si>
    <t>29/07/202512:29:54</t>
  </si>
  <si>
    <t>29/07/202512:30:01</t>
  </si>
  <si>
    <t>29/07/202512:30:07</t>
  </si>
  <si>
    <t>29/07/202512:30:11</t>
  </si>
  <si>
    <t>29/07/202512:31:08</t>
  </si>
  <si>
    <t>29/07/202512:31:11</t>
  </si>
  <si>
    <t>29/07/202512:31:16</t>
  </si>
  <si>
    <t>29/07/202512:31:24</t>
  </si>
  <si>
    <t>29/07/202512:31:29</t>
  </si>
  <si>
    <t>29/07/202512:31:36</t>
  </si>
  <si>
    <t>29/07/202512:31:42</t>
  </si>
  <si>
    <t>29/07/202512:31:46</t>
  </si>
  <si>
    <t>29/07/202512:31:55</t>
  </si>
  <si>
    <t>29/07/202512:31:59</t>
  </si>
  <si>
    <t>29/07/202512:32:02</t>
  </si>
  <si>
    <t>29/07/202512:32:31</t>
  </si>
  <si>
    <t>29/07/202512:32:38</t>
  </si>
  <si>
    <t>29/07/202512:32:51</t>
  </si>
  <si>
    <t>29/07/202512:33:03</t>
  </si>
  <si>
    <t>29/07/202512:33:09</t>
  </si>
  <si>
    <t>29/07/202512:33:17</t>
  </si>
  <si>
    <t>29/07/202512:33:39</t>
  </si>
  <si>
    <t>29/07/202512:33:42</t>
  </si>
  <si>
    <t>29/07/202512:33:49</t>
  </si>
  <si>
    <t>29/07/202512:33:52</t>
  </si>
  <si>
    <t>29/07/202512:34:16</t>
  </si>
  <si>
    <t>29/07/202512:34:21</t>
  </si>
  <si>
    <t>29/07/202512:34:28</t>
  </si>
  <si>
    <t>29/07/202512:34:39</t>
  </si>
  <si>
    <t>29/07/202512:34:42</t>
  </si>
  <si>
    <t>29/07/202512:34:59</t>
  </si>
  <si>
    <t>29/07/202512:35:02</t>
  </si>
  <si>
    <t>29/07/202512:35:09</t>
  </si>
  <si>
    <t>29/07/202512:35:13</t>
  </si>
  <si>
    <t>29/07/202512:35:20</t>
  </si>
  <si>
    <t>29/07/202512:39:20</t>
  </si>
  <si>
    <t>29/07/202512:39:24</t>
  </si>
  <si>
    <t>29/07/202512:39:27</t>
  </si>
  <si>
    <t>29/07/202512:39:32</t>
  </si>
  <si>
    <t>29/07/202512:39:35</t>
  </si>
  <si>
    <t>29/07/202512:39:38</t>
  </si>
  <si>
    <t>29/07/202512:39:41</t>
  </si>
  <si>
    <t>29/07/202512:39:45</t>
  </si>
  <si>
    <t>29/07/202512:39:49</t>
  </si>
  <si>
    <t>29/07/202512:39:52</t>
  </si>
  <si>
    <t>29/07/202512:40:47</t>
  </si>
  <si>
    <t>29/07/202512:40:50</t>
  </si>
  <si>
    <t>29/07/202512:40:59</t>
  </si>
  <si>
    <t>29/07/202512:41:02</t>
  </si>
  <si>
    <t>29/07/202512:41:07</t>
  </si>
  <si>
    <t>29/07/202512:41:11</t>
  </si>
  <si>
    <t>29/07/202512:41:16</t>
  </si>
  <si>
    <t>29/07/202512:41:19</t>
  </si>
  <si>
    <t>29/07/202512:41:23</t>
  </si>
  <si>
    <t>29/07/202512:41:26</t>
  </si>
  <si>
    <t>29/07/202512:41:42</t>
  </si>
  <si>
    <t>29/07/202512:41:45</t>
  </si>
  <si>
    <t>29/07/202512:41:47</t>
  </si>
  <si>
    <t>29/07/202512:41:50</t>
  </si>
  <si>
    <t>29/07/202512:41:54</t>
  </si>
  <si>
    <t>29/07/202512:41:57</t>
  </si>
  <si>
    <t>29/07/202512:42:01</t>
  </si>
  <si>
    <t>29/07/202512:42:03</t>
  </si>
  <si>
    <t>29/07/202512:42:06</t>
  </si>
  <si>
    <t>29/07/202512:42:09</t>
  </si>
  <si>
    <t>29/07/202512:42:55</t>
  </si>
  <si>
    <t>29/07/202512:42:57</t>
  </si>
  <si>
    <t>29/07/202512:43:08</t>
  </si>
  <si>
    <t>29/07/202512:43:10</t>
  </si>
  <si>
    <t>29/07/202512:43:14</t>
  </si>
  <si>
    <t>29/07/202512:43:16</t>
  </si>
  <si>
    <t>29/07/202512:43:19</t>
  </si>
  <si>
    <t>29/07/202512:43:21</t>
  </si>
  <si>
    <t>29/07/202512:43:27</t>
  </si>
  <si>
    <t>29/07/202512:43:31</t>
  </si>
  <si>
    <t>29/07/202512:43:47</t>
  </si>
  <si>
    <t>29/07/202512:43:49</t>
  </si>
  <si>
    <t>29/07/202512:43:52</t>
  </si>
  <si>
    <t>29/07/202512:43:55</t>
  </si>
  <si>
    <t>29/07/202512:43:57</t>
  </si>
  <si>
    <t>29/07/202512:44:00</t>
  </si>
  <si>
    <t>29/07/202512:44:03</t>
  </si>
  <si>
    <t>29/07/202512:44:05</t>
  </si>
  <si>
    <t>29/07/202512:44:07</t>
  </si>
  <si>
    <t>29/07/202512:44:10</t>
  </si>
  <si>
    <t>29/07/202512:50:51</t>
  </si>
  <si>
    <t>29/07/202512:50:55</t>
  </si>
  <si>
    <t>29/07/202512:50:58</t>
  </si>
  <si>
    <t>29/07/202512:51:02</t>
  </si>
  <si>
    <t>29/07/202512:51:07</t>
  </si>
  <si>
    <t>29/07/202512:51:11</t>
  </si>
  <si>
    <t>29/07/202512:51:18</t>
  </si>
  <si>
    <t>29/07/202512:51:21</t>
  </si>
  <si>
    <t>29/07/202512:51:25</t>
  </si>
  <si>
    <t>29/07/202512:51:29</t>
  </si>
  <si>
    <t>29/07/202512:51:45</t>
  </si>
  <si>
    <t>29/07/202512:51:48</t>
  </si>
  <si>
    <t>29/07/202512:51:51</t>
  </si>
  <si>
    <t>29/07/202512:51:54</t>
  </si>
  <si>
    <t>29/07/202512:51:58</t>
  </si>
  <si>
    <t>29/07/202512:52:08</t>
  </si>
  <si>
    <t>29/07/202512:52:11</t>
  </si>
  <si>
    <t>29/07/202512:52:14</t>
  </si>
  <si>
    <t>29/07/202512:52:17</t>
  </si>
  <si>
    <t>29/07/202512:52:20</t>
  </si>
  <si>
    <t>29/07/202512:52:33</t>
  </si>
  <si>
    <t>29/07/202512:52:37</t>
  </si>
  <si>
    <t>29/07/202512:52:40</t>
  </si>
  <si>
    <t>29/07/202512:52:46</t>
  </si>
  <si>
    <t>29/07/202512:52:49</t>
  </si>
  <si>
    <t>29/07/202512:52:52</t>
  </si>
  <si>
    <t>29/07/202512:52:56</t>
  </si>
  <si>
    <t>29/07/202512:52:59</t>
  </si>
  <si>
    <t>29/07/202512:53:03</t>
  </si>
  <si>
    <t>29/07/202512:53:10</t>
  </si>
  <si>
    <t>29/07/202512:53:29</t>
  </si>
  <si>
    <t>29/07/202512:53:33</t>
  </si>
  <si>
    <t>29/07/202512:53:36</t>
  </si>
  <si>
    <t>29/07/202512:53:39</t>
  </si>
  <si>
    <t>29/07/202512:53:44</t>
  </si>
  <si>
    <t>29/07/202512:53:49</t>
  </si>
  <si>
    <t>29/07/202512:53:53</t>
  </si>
  <si>
    <t>29/07/202512:53:56</t>
  </si>
  <si>
    <t>29/07/202512:54:00</t>
  </si>
  <si>
    <t>29/07/202512:54:05</t>
  </si>
  <si>
    <t>29/07/202512:54:18</t>
  </si>
  <si>
    <t>29/07/202512:54:21</t>
  </si>
  <si>
    <t>29/07/202512:54:24</t>
  </si>
  <si>
    <t>29/07/202512:54:27</t>
  </si>
  <si>
    <t>29/07/202512:54:31</t>
  </si>
  <si>
    <t>29/07/202512:54:36</t>
  </si>
  <si>
    <t>29/07/202512:54:39</t>
  </si>
  <si>
    <t>29/07/202512:54:43</t>
  </si>
  <si>
    <t>29/07/202512:54:48</t>
  </si>
  <si>
    <t>29/07/202512:54:51</t>
  </si>
  <si>
    <t>29/07/202512:57:04</t>
  </si>
  <si>
    <t>29/07/202512:57:08</t>
  </si>
  <si>
    <t>29/07/202512:57:15</t>
  </si>
  <si>
    <t>29/07/202512:57:18</t>
  </si>
  <si>
    <t>29/07/202512:57:21</t>
  </si>
  <si>
    <t>29/07/202512:57:24</t>
  </si>
  <si>
    <t>29/07/202512:57:28</t>
  </si>
  <si>
    <t>29/07/202512:57:31</t>
  </si>
  <si>
    <t>29/07/202512:57:34</t>
  </si>
  <si>
    <t>29/07/202512:57:38</t>
  </si>
  <si>
    <t>29/07/202512:57:58</t>
  </si>
  <si>
    <t>29/07/202512:58:00</t>
  </si>
  <si>
    <t>29/07/202512:58:03</t>
  </si>
  <si>
    <t>29/07/202512:58:05</t>
  </si>
  <si>
    <t>29/07/202512:58:07</t>
  </si>
  <si>
    <t>29/07/202512:58:09</t>
  </si>
  <si>
    <t>29/07/202512:58:12</t>
  </si>
  <si>
    <t>29/07/202512:58:16</t>
  </si>
  <si>
    <t>29/07/202512:58:19</t>
  </si>
  <si>
    <t>29/07/202512:58:22</t>
  </si>
  <si>
    <t>29/07/202512:58:43</t>
  </si>
  <si>
    <t>29/07/202512:58:45</t>
  </si>
  <si>
    <t>29/07/202512:58:47</t>
  </si>
  <si>
    <t>29/07/202512:58:50</t>
  </si>
  <si>
    <t>29/07/202512:58:51</t>
  </si>
  <si>
    <t>29/07/202512:58:54</t>
  </si>
  <si>
    <t>29/07/202512:58:57</t>
  </si>
  <si>
    <t>29/07/202512:58:59</t>
  </si>
  <si>
    <t>29/07/202512:59:02</t>
  </si>
  <si>
    <t>29/07/202512:59:04</t>
  </si>
  <si>
    <t>29/07/202512:59:30</t>
  </si>
  <si>
    <t>29/07/202512:59:32</t>
  </si>
  <si>
    <t>29/07/202512:59:34</t>
  </si>
  <si>
    <t>29/07/202512:59:36</t>
  </si>
  <si>
    <t>29/07/202512:59:39</t>
  </si>
  <si>
    <t>29/07/202512:59:42</t>
  </si>
  <si>
    <t>29/07/202512:59:46</t>
  </si>
  <si>
    <t>29/07/202512:59:48</t>
  </si>
  <si>
    <t>29/07/202512:59:50</t>
  </si>
  <si>
    <t>29/07/202512:59:52</t>
  </si>
  <si>
    <t>29/07/202513:00:09</t>
  </si>
  <si>
    <t>29/07/202513:00:12</t>
  </si>
  <si>
    <t>29/07/202513:00:14</t>
  </si>
  <si>
    <t>29/07/202513:00:17</t>
  </si>
  <si>
    <t>29/07/202513:00:20</t>
  </si>
  <si>
    <t>29/07/202513:00:22</t>
  </si>
  <si>
    <t>29/07/202513:00:25</t>
  </si>
  <si>
    <t>29/07/202513:00:29</t>
  </si>
  <si>
    <t>29/07/202513:00:33</t>
  </si>
  <si>
    <t>29/07/202513:00:36</t>
  </si>
  <si>
    <t>TCSA_growth</t>
  </si>
  <si>
    <t>early_season_trunk2</t>
  </si>
  <si>
    <t>end_season_trunk1a</t>
  </si>
  <si>
    <t>early_season_trunk1</t>
  </si>
  <si>
    <t>end_season_trunk1b</t>
  </si>
  <si>
    <t>end_season_trunk2a</t>
  </si>
  <si>
    <t>end_season_trunk2b</t>
  </si>
  <si>
    <t>mm</t>
  </si>
  <si>
    <t>cm2</t>
  </si>
  <si>
    <t>cm</t>
  </si>
  <si>
    <t>height</t>
  </si>
  <si>
    <t>shootlenght1</t>
  </si>
  <si>
    <t>shootlenght2</t>
  </si>
  <si>
    <t>shootlenght3</t>
  </si>
  <si>
    <t>cropload</t>
  </si>
  <si>
    <t>kg.fruit/tree</t>
  </si>
  <si>
    <t>time/tree</t>
  </si>
  <si>
    <t>min/tree</t>
  </si>
  <si>
    <t>t/ha</t>
  </si>
  <si>
    <t>g</t>
  </si>
  <si>
    <t>avg_fruit_weight</t>
  </si>
  <si>
    <t>harvest_time</t>
  </si>
  <si>
    <t>h/ha</t>
  </si>
  <si>
    <t>%</t>
  </si>
  <si>
    <t>weight</t>
  </si>
  <si>
    <t>diameter1</t>
  </si>
  <si>
    <t>diameter2</t>
  </si>
  <si>
    <t xml:space="preserve">tying </t>
  </si>
  <si>
    <t>thinning</t>
  </si>
  <si>
    <t>pruning</t>
  </si>
  <si>
    <t>kg</t>
  </si>
  <si>
    <t>pruning_weight</t>
  </si>
  <si>
    <t>FruitN/tree</t>
  </si>
  <si>
    <t>kg tree/cm2 TCSA</t>
  </si>
  <si>
    <t>yield_eff_2</t>
  </si>
  <si>
    <t>TotShootLenght</t>
  </si>
  <si>
    <t>TreeH</t>
  </si>
  <si>
    <t>treeW</t>
  </si>
  <si>
    <t>m3</t>
  </si>
  <si>
    <t xml:space="preserve">training </t>
  </si>
  <si>
    <t>cropload_efficiency</t>
  </si>
  <si>
    <t>fruitN/cm2 TCSA</t>
  </si>
  <si>
    <t>YEAR</t>
  </si>
  <si>
    <t>TRAINIG SYSTEM</t>
  </si>
  <si>
    <t>P.I.</t>
  </si>
  <si>
    <t>TREE GROWTH</t>
  </si>
  <si>
    <t>YIELD</t>
  </si>
  <si>
    <r>
      <t>FRUIT QUALITY</t>
    </r>
    <r>
      <rPr>
        <sz val="11"/>
        <color rgb="FF000000"/>
        <rFont val="Arial Narrow"/>
        <family val="2"/>
      </rPr>
      <t> </t>
    </r>
  </si>
  <si>
    <t>LABOR TIME</t>
  </si>
  <si>
    <t>tree height (cm)</t>
  </si>
  <si>
    <t>tree widht (cm)</t>
  </si>
  <si>
    <t>tree volume (m3)</t>
  </si>
  <si>
    <t>TOT shoots lenght (cm)</t>
  </si>
  <si>
    <t>LI datetime</t>
  </si>
  <si>
    <t>Light Interception(%)</t>
  </si>
  <si>
    <t>Yield tree (Kg/tree)</t>
  </si>
  <si>
    <t>Yield (t/ha)</t>
  </si>
  <si>
    <t>Yield efficiency (yield_tree/TCSA)</t>
  </si>
  <si>
    <t>Fruit number</t>
  </si>
  <si>
    <t>Crop Load Efficiency (fruit number/cm2) </t>
  </si>
  <si>
    <t>Cumulative Yield Efficiency (kg/cm2) </t>
  </si>
  <si>
    <t>Fruit weight (g) </t>
  </si>
  <si>
    <t>Fruit Weight Distr. (% class)</t>
  </si>
  <si>
    <t>Fruit size (Ø mm) </t>
  </si>
  <si>
    <t>Fruit size Distr (% class) </t>
  </si>
  <si>
    <t>Fruit overcolor  </t>
  </si>
  <si>
    <t>Fruit overcolor  Distr. (% class)</t>
  </si>
  <si>
    <t>Fruit ripeness </t>
  </si>
  <si>
    <t>Fruit TSS  </t>
  </si>
  <si>
    <t>Fruit Firmness </t>
  </si>
  <si>
    <t>Acidity </t>
  </si>
  <si>
    <t>Pruning (h/ha)</t>
  </si>
  <si>
    <t>Tying  (h/ha)</t>
  </si>
  <si>
    <t>Man. Thinning (h/ha)</t>
  </si>
  <si>
    <t>Harvesting (h/ha)</t>
  </si>
  <si>
    <t>MAND: End of each year</t>
  </si>
  <si>
    <t>MAND: End year 1,2 (3)</t>
  </si>
  <si>
    <t>MAND: End year 2-5</t>
  </si>
  <si>
    <t>MAND: End of the trial  </t>
  </si>
  <si>
    <t>MAND: End year 3-5</t>
  </si>
  <si>
    <t>OPT: End year 3-5</t>
  </si>
  <si>
    <t>cm dal suolo al punto più alto; FINO A QUANDO RAGIGUNGE HMAX</t>
  </si>
  <si>
    <t>larghezza totale della pianta da un interfila all'altro ne punti max</t>
  </si>
  <si>
    <t>Spi = Volume cono; Altri = Parallelepipedo</t>
  </si>
  <si>
    <t>Preso 1 ramo rappresentativo  in zona bassa media e alta (3 rami per pianta in tutto) e misurata lunghezza di questo e tutti rami secondari inseriti</t>
  </si>
  <si>
    <t>per raccolta dati vedi schema del file raw o report; 9-10 letture ogni luce nella zona di sola ombra; poi /4 per l'area alloccata alla pianta</t>
  </si>
  <si>
    <t>Usa file LAI corrected da sito LP80</t>
  </si>
  <si>
    <t>Peso raccolta // N. cropload * peso medio da qualità</t>
  </si>
  <si>
    <t>Yield tree * Tree/ha</t>
  </si>
  <si>
    <t>yield_tree/TCSA</t>
  </si>
  <si>
    <t>FruitN per tree</t>
  </si>
  <si>
    <t>Calculated by Cumulative Fruit No. (year 2-3-4-5) / final TCSA (year 5) </t>
  </si>
  <si>
    <t>Calculated by Cumulative Yield (year 2-3-4-5) / final TCSA (year 5) </t>
  </si>
  <si>
    <t>Weight,</t>
  </si>
  <si>
    <t>fruit distribution (%) according to grading machine classes </t>
  </si>
  <si>
    <t>size</t>
  </si>
  <si>
    <t>% superficie con colore blush ok</t>
  </si>
  <si>
    <r>
      <t>Starch regression</t>
    </r>
    <r>
      <rPr>
        <b/>
        <sz val="11"/>
        <color rgb="FF000000"/>
        <rFont val="Arial Narrow"/>
        <family val="2"/>
      </rPr>
      <t> </t>
    </r>
  </si>
  <si>
    <t>Refractometer index </t>
  </si>
  <si>
    <t>Penetrometer </t>
  </si>
  <si>
    <t>Malic acid </t>
  </si>
  <si>
    <r>
      <t>Working time (hours) </t>
    </r>
    <r>
      <rPr>
        <b/>
        <sz val="11"/>
        <color rgb="FF000000"/>
        <rFont val="Arial Narrow"/>
        <family val="2"/>
      </rPr>
      <t> </t>
    </r>
  </si>
  <si>
    <t>Year</t>
  </si>
  <si>
    <t>TreeW</t>
  </si>
  <si>
    <t>TreeV</t>
  </si>
  <si>
    <t>COD.</t>
  </si>
  <si>
    <t>TREE PHENLOGY E BIOLOGY</t>
  </si>
  <si>
    <t>n.plant</t>
  </si>
  <si>
    <t>Tree mortality</t>
  </si>
  <si>
    <t>Full Bloom time</t>
  </si>
  <si>
    <t>Petal Fall  time</t>
  </si>
  <si>
    <t>Return Bloom</t>
  </si>
  <si>
    <t>Pests and Diseae</t>
  </si>
  <si>
    <t xml:space="preserve">Suckers </t>
  </si>
  <si>
    <t>BKnoots</t>
  </si>
  <si>
    <t>trunk diam (mm)</t>
  </si>
  <si>
    <t>TCSA (cm2)</t>
  </si>
  <si>
    <t>OPT: years 1-5</t>
  </si>
  <si>
    <t>OPT: yeras 2 and 4</t>
  </si>
  <si>
    <t>80% open flower</t>
  </si>
  <si>
    <t>start petal fall king flower on old wood</t>
  </si>
  <si>
    <t>Scale (1=no flowers, 9=full bloom) </t>
  </si>
  <si>
    <t>Tree number computation of Afftect trees by pests and diseases (Fire Blight;WAA,ARD,ect</t>
  </si>
  <si>
    <t>Suckers: number /after the number detection suckers should be removed every year)</t>
  </si>
  <si>
    <t>Suckers: vigore ( 1-3)</t>
  </si>
  <si>
    <t>SuckerIndex (N*Vigor)</t>
  </si>
  <si>
    <t>Burr knots (1=no burr knots, 9=rootstock totally covered by burr knots)</t>
  </si>
  <si>
    <t>early season</t>
  </si>
  <si>
    <t>end season</t>
  </si>
  <si>
    <t>Mean early</t>
  </si>
  <si>
    <t>Mean last</t>
  </si>
  <si>
    <t>Mean growth</t>
  </si>
  <si>
    <t>ScukerVigor</t>
  </si>
  <si>
    <t>SuckerIndex</t>
  </si>
  <si>
    <t>Trunk1</t>
  </si>
  <si>
    <t>Trunk2</t>
  </si>
  <si>
    <t>Trunk_growth</t>
  </si>
  <si>
    <t>LAI_Corrected</t>
  </si>
  <si>
    <t>test1</t>
  </si>
  <si>
    <t>test2</t>
  </si>
  <si>
    <t>LI0</t>
  </si>
  <si>
    <t>LI2</t>
  </si>
  <si>
    <t>LI3</t>
  </si>
  <si>
    <t>LI_ave</t>
  </si>
  <si>
    <t>diam</t>
  </si>
  <si>
    <t>°Brix</t>
  </si>
  <si>
    <t>SSC</t>
  </si>
  <si>
    <t>DA_Index</t>
  </si>
  <si>
    <t>Firmness</t>
  </si>
  <si>
    <t>color_cover</t>
  </si>
  <si>
    <t>Hue</t>
  </si>
  <si>
    <t>TreeVol</t>
  </si>
  <si>
    <t>Yield</t>
  </si>
  <si>
    <t>VLIe</t>
  </si>
  <si>
    <t>PLIe</t>
  </si>
  <si>
    <t>VPLI</t>
  </si>
  <si>
    <t>Etichette di riga</t>
  </si>
  <si>
    <t>Totale complessivo</t>
  </si>
  <si>
    <t>Media di pruning_weight</t>
  </si>
  <si>
    <t>harvest</t>
  </si>
  <si>
    <t>Training system</t>
  </si>
  <si>
    <t>training system</t>
  </si>
  <si>
    <t>pruning weight 2024-2025 (kg)</t>
  </si>
  <si>
    <t>pruning weight 2024-2025</t>
  </si>
  <si>
    <t>SDI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</si>
</sst>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m/d/yyyy\ h:mm:ss"/>
    <numFmt numFmtId="166" formatCode="0.000"/>
    <numFmt numFmtId="167" formatCode="0\°"/>
    <numFmt numFmtId="168" formatCode="dd/mm/yyyy\ hh:mm:ss"/>
    <numFmt numFmtId="169" formatCode="0&quot;°&quot;"/>
  </numFmts>
  <fonts count="22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rgb="FF0B57D0"/>
      <name val="Arial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242424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name val="Calibri"/>
      <family val="2"/>
    </font>
    <font>
      <b/>
      <sz val="11"/>
      <color rgb="FF5B9BD5"/>
      <name val="Calibri"/>
      <family val="2"/>
    </font>
    <font>
      <sz val="11"/>
      <name val="&quot;Arial Narrow&quot;"/>
    </font>
    <font>
      <sz val="11"/>
      <color rgb="FF5B9BD5"/>
      <name val="&quot;Arial Narrow&quot;"/>
    </font>
    <font>
      <b/>
      <sz val="11"/>
      <name val="Aptos Narrow"/>
      <family val="2"/>
      <scheme val="minor"/>
    </font>
    <font>
      <b/>
      <sz val="1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2" borderId="5" xfId="0" applyFont="1" applyFill="1" applyBorder="1" applyAlignment="1">
      <alignment horizontal="center" vertical="center" wrapText="1"/>
    </xf>
    <xf numFmtId="165" fontId="4" fillId="2" borderId="6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6" fontId="4" fillId="2" borderId="6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67" fontId="4" fillId="2" borderId="6" xfId="0" applyNumberFormat="1" applyFont="1" applyFill="1" applyBorder="1" applyAlignment="1">
      <alignment horizontal="center" vertical="center" wrapText="1"/>
    </xf>
    <xf numFmtId="167" fontId="4" fillId="2" borderId="6" xfId="0" applyNumberFormat="1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166" fontId="4" fillId="2" borderId="6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168" fontId="5" fillId="0" borderId="7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6" fontId="5" fillId="0" borderId="7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169" fontId="5" fillId="0" borderId="7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6" fillId="0" borderId="14" xfId="0" applyFont="1" applyBorder="1"/>
    <xf numFmtId="0" fontId="16" fillId="0" borderId="14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13" xfId="0" applyFont="1" applyBorder="1"/>
    <xf numFmtId="0" fontId="7" fillId="0" borderId="13" xfId="0" applyFont="1" applyBorder="1"/>
    <xf numFmtId="0" fontId="12" fillId="0" borderId="14" xfId="0" applyFont="1" applyBorder="1"/>
    <xf numFmtId="0" fontId="18" fillId="0" borderId="13" xfId="0" applyFont="1" applyBorder="1" applyAlignment="1">
      <alignment horizontal="left" wrapText="1"/>
    </xf>
    <xf numFmtId="0" fontId="19" fillId="0" borderId="13" xfId="0" applyFont="1" applyBorder="1" applyAlignment="1">
      <alignment horizontal="left" wrapText="1"/>
    </xf>
    <xf numFmtId="0" fontId="12" fillId="0" borderId="0" xfId="0" applyFont="1"/>
    <xf numFmtId="0" fontId="17" fillId="0" borderId="14" xfId="0" applyFont="1" applyBorder="1" applyAlignment="1">
      <alignment horizontal="center"/>
    </xf>
    <xf numFmtId="0" fontId="12" fillId="0" borderId="13" xfId="0" applyFont="1" applyBorder="1"/>
    <xf numFmtId="0" fontId="17" fillId="0" borderId="15" xfId="0" applyFont="1" applyBorder="1"/>
    <xf numFmtId="0" fontId="17" fillId="0" borderId="0" xfId="0" applyFont="1"/>
    <xf numFmtId="0" fontId="2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21" fillId="0" borderId="0" xfId="0" applyFont="1"/>
    <xf numFmtId="0" fontId="1" fillId="9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8" fillId="0" borderId="25" xfId="0" applyFont="1" applyBorder="1"/>
    <xf numFmtId="0" fontId="8" fillId="0" borderId="25" xfId="0" applyFont="1" applyBorder="1" applyAlignment="1">
      <alignment horizontal="left"/>
    </xf>
    <xf numFmtId="2" fontId="0" fillId="0" borderId="0" xfId="0" applyNumberFormat="1"/>
    <xf numFmtId="0" fontId="7" fillId="0" borderId="0" xfId="0" applyFont="1"/>
    <xf numFmtId="0" fontId="7" fillId="0" borderId="21" xfId="0" applyFont="1" applyBorder="1"/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14" fillId="6" borderId="14" xfId="0" applyFont="1" applyFill="1" applyBorder="1" applyAlignment="1">
      <alignment horizontal="center"/>
    </xf>
    <xf numFmtId="0" fontId="14" fillId="6" borderId="15" xfId="0" applyFont="1" applyFill="1" applyBorder="1" applyAlignment="1">
      <alignment horizontal="center"/>
    </xf>
    <xf numFmtId="0" fontId="14" fillId="6" borderId="16" xfId="0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8" borderId="14" xfId="0" applyFont="1" applyFill="1" applyBorder="1" applyAlignment="1">
      <alignment horizontal="center"/>
    </xf>
    <xf numFmtId="0" fontId="12" fillId="8" borderId="15" xfId="0" applyFont="1" applyFill="1" applyBorder="1" applyAlignment="1">
      <alignment horizontal="center"/>
    </xf>
    <xf numFmtId="0" fontId="12" fillId="8" borderId="16" xfId="0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0" borderId="0" xfId="0" applyFont="1"/>
    <xf numFmtId="0" fontId="12" fillId="0" borderId="24" xfId="0" applyFont="1" applyBorder="1"/>
    <xf numFmtId="0" fontId="13" fillId="4" borderId="14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2" fillId="5" borderId="15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[Agromillora correzzione errori IA (2025).xlsx]pruning weight (2024)!Tabella pivot1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'pruning weight (2024)'!$J$3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'pruning weight (2024)'!$I$4:$I$28</c:f>
              <c:multiLvlStrCache>
                <c:ptCount val="20"/>
                <c:lvl>
                  <c:pt idx="0">
                    <c:v>CG5257</c:v>
                  </c:pt>
                  <c:pt idx="1">
                    <c:v>G213</c:v>
                  </c:pt>
                  <c:pt idx="2">
                    <c:v>G41</c:v>
                  </c:pt>
                  <c:pt idx="3">
                    <c:v>G969</c:v>
                  </c:pt>
                  <c:pt idx="4">
                    <c:v>M9</c:v>
                  </c:pt>
                  <c:pt idx="5">
                    <c:v>CG5257</c:v>
                  </c:pt>
                  <c:pt idx="6">
                    <c:v>G213</c:v>
                  </c:pt>
                  <c:pt idx="7">
                    <c:v>G41</c:v>
                  </c:pt>
                  <c:pt idx="8">
                    <c:v>G969</c:v>
                  </c:pt>
                  <c:pt idx="9">
                    <c:v>M9</c:v>
                  </c:pt>
                  <c:pt idx="10">
                    <c:v>CG5257</c:v>
                  </c:pt>
                  <c:pt idx="11">
                    <c:v>G213</c:v>
                  </c:pt>
                  <c:pt idx="12">
                    <c:v>G41</c:v>
                  </c:pt>
                  <c:pt idx="13">
                    <c:v>G969</c:v>
                  </c:pt>
                  <c:pt idx="14">
                    <c:v>M9</c:v>
                  </c:pt>
                  <c:pt idx="15">
                    <c:v>CG5257</c:v>
                  </c:pt>
                  <c:pt idx="16">
                    <c:v>G213</c:v>
                  </c:pt>
                  <c:pt idx="17">
                    <c:v>G41</c:v>
                  </c:pt>
                  <c:pt idx="18">
                    <c:v>G969</c:v>
                  </c:pt>
                  <c:pt idx="19">
                    <c:v>M9</c:v>
                  </c:pt>
                </c:lvl>
                <c:lvl>
                  <c:pt idx="0">
                    <c:v>Bibaum</c:v>
                  </c:pt>
                  <c:pt idx="5">
                    <c:v>DoubleGuyot</c:v>
                  </c:pt>
                  <c:pt idx="10">
                    <c:v>Guyot</c:v>
                  </c:pt>
                  <c:pt idx="15">
                    <c:v>Spindle</c:v>
                  </c:pt>
                </c:lvl>
              </c:multiLvlStrCache>
            </c:multiLvlStrRef>
          </c:cat>
          <c:val>
            <c:numRef>
              <c:f>'pruning weight (2024)'!$J$4:$J$28</c:f>
              <c:numCache>
                <c:formatCode>General</c:formatCode>
                <c:ptCount val="20"/>
                <c:pt idx="0">
                  <c:v>3.0533333333333332</c:v>
                </c:pt>
                <c:pt idx="1">
                  <c:v>6.2166666666666677</c:v>
                </c:pt>
                <c:pt idx="2">
                  <c:v>6.7266666666666666</c:v>
                </c:pt>
                <c:pt idx="3">
                  <c:v>5.7266666666666666</c:v>
                </c:pt>
                <c:pt idx="4">
                  <c:v>4.4333333333333336</c:v>
                </c:pt>
                <c:pt idx="5">
                  <c:v>0.39666666666666667</c:v>
                </c:pt>
                <c:pt idx="6">
                  <c:v>2.9266666666666663</c:v>
                </c:pt>
                <c:pt idx="7">
                  <c:v>2.04</c:v>
                </c:pt>
                <c:pt idx="8">
                  <c:v>2.063333333333333</c:v>
                </c:pt>
                <c:pt idx="9">
                  <c:v>1.76</c:v>
                </c:pt>
                <c:pt idx="10">
                  <c:v>0.64</c:v>
                </c:pt>
                <c:pt idx="11">
                  <c:v>4.833333333333333</c:v>
                </c:pt>
                <c:pt idx="12">
                  <c:v>3.3966666666666665</c:v>
                </c:pt>
                <c:pt idx="13">
                  <c:v>3.5533333333333328</c:v>
                </c:pt>
                <c:pt idx="14">
                  <c:v>1.7422222222222221</c:v>
                </c:pt>
                <c:pt idx="15">
                  <c:v>3.0266666666666668</c:v>
                </c:pt>
                <c:pt idx="16">
                  <c:v>8.7900000000000009</c:v>
                </c:pt>
                <c:pt idx="17">
                  <c:v>5.91</c:v>
                </c:pt>
                <c:pt idx="18">
                  <c:v>6</c:v>
                </c:pt>
                <c:pt idx="19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6F4-AFB9-9BAD99462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853232"/>
        <c:axId val="1333846512"/>
      </c:barChart>
      <c:catAx>
        <c:axId val="133385323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3846512"/>
        <c:crosses val="autoZero"/>
        <c:auto val="1"/>
        <c:lblAlgn val="ctr"/>
        <c:lblOffset val="100"/>
        <c:noMultiLvlLbl val="0"/>
      </c:catAx>
      <c:valAx>
        <c:axId val="133384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385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144780</xdr:colOff>
      <xdr:row>3</xdr:row>
      <xdr:rowOff>64770</xdr:rowOff>
    </xdr:from>
    <xdr:to>
      <xdr:col>20</xdr:col>
      <xdr:colOff>281940</xdr:colOff>
      <xdr:row>27</xdr:row>
      <xdr:rowOff>144780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7BBB875-F0CC-A26C-0942-C418AD3CB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gi_Cadriano" refreshedDate="45987.416272222225" createdVersion="8" refreshedVersion="8" minRefreshableVersion="3" recordCount="132" xr:uid="{4D50B960-1970-4949-ACF3-A32DE57D1821}">
  <cacheSource type="worksheet">
    <worksheetSource ref="B2:F134" sheet="pruning weight (2024)"/>
  </cacheSource>
  <cacheFields count="5">
    <cacheField name="trainingsystem" numFmtId="0">
      <sharedItems count="4">
        <s v="DoubleGuyot"/>
        <s v="Bibaum"/>
        <s v="Guyot"/>
        <s v="Spindle"/>
      </sharedItems>
    </cacheField>
    <cacheField name="rootstock" numFmtId="0">
      <sharedItems count="5">
        <s v="M9"/>
        <s v="G213"/>
        <s v="CG5257"/>
        <s v="G969"/>
        <s v="G41"/>
      </sharedItems>
    </cacheField>
    <cacheField name="row" numFmtId="0">
      <sharedItems containsSemiMixedTypes="0" containsString="0" containsNumber="1" containsInteger="1" minValue="1" maxValue="12"/>
    </cacheField>
    <cacheField name="inter-pole" numFmtId="0">
      <sharedItems containsSemiMixedTypes="0" containsString="0" containsNumber="1" containsInteger="1" minValue="1" maxValue="11"/>
    </cacheField>
    <cacheField name="pruning_weight" numFmtId="0">
      <sharedItems containsSemiMixedTypes="0" containsString="0" containsNumber="1" minValue="0" maxValue="14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x v="0"/>
    <n v="1"/>
    <n v="1"/>
    <n v="1.24"/>
  </r>
  <r>
    <x v="0"/>
    <x v="1"/>
    <n v="1"/>
    <n v="2"/>
    <n v="2.48"/>
  </r>
  <r>
    <x v="0"/>
    <x v="2"/>
    <n v="1"/>
    <n v="3"/>
    <n v="0.78"/>
  </r>
  <r>
    <x v="0"/>
    <x v="0"/>
    <n v="1"/>
    <n v="4"/>
    <n v="1.62"/>
  </r>
  <r>
    <x v="0"/>
    <x v="3"/>
    <n v="1"/>
    <n v="5"/>
    <n v="2.84"/>
  </r>
  <r>
    <x v="0"/>
    <x v="4"/>
    <n v="1"/>
    <n v="6"/>
    <n v="2.46"/>
  </r>
  <r>
    <x v="0"/>
    <x v="2"/>
    <n v="1"/>
    <n v="7"/>
    <n v="1.1200000000000001"/>
  </r>
  <r>
    <x v="0"/>
    <x v="3"/>
    <n v="1"/>
    <n v="8"/>
    <n v="1.66"/>
  </r>
  <r>
    <x v="0"/>
    <x v="4"/>
    <n v="1"/>
    <n v="9"/>
    <n v="2.86"/>
  </r>
  <r>
    <x v="0"/>
    <x v="1"/>
    <n v="1"/>
    <n v="10"/>
    <n v="3.08"/>
  </r>
  <r>
    <x v="0"/>
    <x v="0"/>
    <n v="1"/>
    <n v="11"/>
    <n v="1.46"/>
  </r>
  <r>
    <x v="0"/>
    <x v="0"/>
    <n v="2"/>
    <n v="1"/>
    <n v="3.16"/>
  </r>
  <r>
    <x v="0"/>
    <x v="1"/>
    <n v="2"/>
    <n v="2"/>
    <n v="5.58"/>
  </r>
  <r>
    <x v="0"/>
    <x v="2"/>
    <n v="2"/>
    <n v="3"/>
    <n v="0.48"/>
  </r>
  <r>
    <x v="0"/>
    <x v="0"/>
    <n v="2"/>
    <n v="4"/>
    <n v="3.38"/>
  </r>
  <r>
    <x v="0"/>
    <x v="3"/>
    <n v="2"/>
    <n v="5"/>
    <n v="2.92"/>
  </r>
  <r>
    <x v="0"/>
    <x v="4"/>
    <n v="2"/>
    <n v="6"/>
    <n v="2.4"/>
  </r>
  <r>
    <x v="0"/>
    <x v="2"/>
    <n v="2"/>
    <n v="7"/>
    <n v="0"/>
  </r>
  <r>
    <x v="0"/>
    <x v="3"/>
    <n v="2"/>
    <n v="8"/>
    <n v="1.3"/>
  </r>
  <r>
    <x v="0"/>
    <x v="4"/>
    <n v="2"/>
    <n v="9"/>
    <n v="1.24"/>
  </r>
  <r>
    <x v="0"/>
    <x v="1"/>
    <n v="2"/>
    <n v="10"/>
    <n v="2.9"/>
  </r>
  <r>
    <x v="0"/>
    <x v="0"/>
    <n v="2"/>
    <n v="11"/>
    <n v="1.32"/>
  </r>
  <r>
    <x v="0"/>
    <x v="0"/>
    <n v="3"/>
    <n v="1"/>
    <n v="1.1000000000000001"/>
  </r>
  <r>
    <x v="0"/>
    <x v="1"/>
    <n v="3"/>
    <n v="2"/>
    <n v="2.5"/>
  </r>
  <r>
    <x v="0"/>
    <x v="2"/>
    <n v="3"/>
    <n v="3"/>
    <n v="0"/>
  </r>
  <r>
    <x v="0"/>
    <x v="0"/>
    <n v="3"/>
    <n v="4"/>
    <n v="1.92"/>
  </r>
  <r>
    <x v="0"/>
    <x v="3"/>
    <n v="3"/>
    <n v="5"/>
    <n v="1.96"/>
  </r>
  <r>
    <x v="0"/>
    <x v="4"/>
    <n v="3"/>
    <n v="6"/>
    <n v="2.36"/>
  </r>
  <r>
    <x v="0"/>
    <x v="2"/>
    <n v="3"/>
    <n v="7"/>
    <n v="0"/>
  </r>
  <r>
    <x v="0"/>
    <x v="3"/>
    <n v="3"/>
    <n v="8"/>
    <n v="1.7"/>
  </r>
  <r>
    <x v="0"/>
    <x v="4"/>
    <n v="3"/>
    <n v="9"/>
    <n v="0.92"/>
  </r>
  <r>
    <x v="0"/>
    <x v="1"/>
    <n v="3"/>
    <n v="10"/>
    <n v="1.02"/>
  </r>
  <r>
    <x v="0"/>
    <x v="0"/>
    <n v="3"/>
    <n v="11"/>
    <n v="0.64"/>
  </r>
  <r>
    <x v="1"/>
    <x v="0"/>
    <n v="4"/>
    <n v="1"/>
    <n v="3.74"/>
  </r>
  <r>
    <x v="1"/>
    <x v="1"/>
    <n v="4"/>
    <n v="2"/>
    <n v="4.9800000000000004"/>
  </r>
  <r>
    <x v="1"/>
    <x v="2"/>
    <n v="4"/>
    <n v="3"/>
    <n v="1.98"/>
  </r>
  <r>
    <x v="1"/>
    <x v="0"/>
    <n v="4"/>
    <n v="4"/>
    <n v="2.9"/>
  </r>
  <r>
    <x v="1"/>
    <x v="3"/>
    <n v="4"/>
    <n v="5"/>
    <n v="5.04"/>
  </r>
  <r>
    <x v="1"/>
    <x v="4"/>
    <n v="4"/>
    <n v="6"/>
    <n v="8.42"/>
  </r>
  <r>
    <x v="1"/>
    <x v="2"/>
    <n v="4"/>
    <n v="7"/>
    <n v="3.36"/>
  </r>
  <r>
    <x v="1"/>
    <x v="3"/>
    <n v="4"/>
    <n v="8"/>
    <n v="3.82"/>
  </r>
  <r>
    <x v="1"/>
    <x v="4"/>
    <n v="4"/>
    <n v="9"/>
    <n v="4.92"/>
  </r>
  <r>
    <x v="1"/>
    <x v="1"/>
    <n v="4"/>
    <n v="10"/>
    <n v="4.88"/>
  </r>
  <r>
    <x v="1"/>
    <x v="0"/>
    <n v="4"/>
    <n v="11"/>
    <n v="1.74"/>
  </r>
  <r>
    <x v="1"/>
    <x v="0"/>
    <n v="5"/>
    <n v="1"/>
    <n v="7.3"/>
  </r>
  <r>
    <x v="1"/>
    <x v="1"/>
    <n v="5"/>
    <n v="2"/>
    <n v="14.3"/>
  </r>
  <r>
    <x v="1"/>
    <x v="2"/>
    <n v="5"/>
    <n v="3"/>
    <n v="4.22"/>
  </r>
  <r>
    <x v="1"/>
    <x v="0"/>
    <n v="5"/>
    <n v="4"/>
    <n v="6.92"/>
  </r>
  <r>
    <x v="1"/>
    <x v="3"/>
    <n v="5"/>
    <n v="5"/>
    <n v="7.16"/>
  </r>
  <r>
    <x v="1"/>
    <x v="4"/>
    <n v="5"/>
    <n v="6"/>
    <n v="9.1199999999999992"/>
  </r>
  <r>
    <x v="1"/>
    <x v="2"/>
    <n v="5"/>
    <n v="7"/>
    <n v="3.12"/>
  </r>
  <r>
    <x v="1"/>
    <x v="3"/>
    <n v="5"/>
    <n v="8"/>
    <n v="8.06"/>
  </r>
  <r>
    <x v="1"/>
    <x v="4"/>
    <n v="5"/>
    <n v="9"/>
    <n v="6.08"/>
  </r>
  <r>
    <x v="1"/>
    <x v="1"/>
    <n v="5"/>
    <n v="10"/>
    <n v="4.96"/>
  </r>
  <r>
    <x v="1"/>
    <x v="0"/>
    <n v="5"/>
    <n v="11"/>
    <n v="2.88"/>
  </r>
  <r>
    <x v="1"/>
    <x v="0"/>
    <n v="6"/>
    <n v="1"/>
    <n v="5.48"/>
  </r>
  <r>
    <x v="1"/>
    <x v="1"/>
    <n v="6"/>
    <n v="2"/>
    <n v="4.9000000000000004"/>
  </r>
  <r>
    <x v="1"/>
    <x v="2"/>
    <n v="6"/>
    <n v="3"/>
    <n v="2.2999999999999998"/>
  </r>
  <r>
    <x v="1"/>
    <x v="0"/>
    <n v="6"/>
    <n v="4"/>
    <n v="6.8"/>
  </r>
  <r>
    <x v="1"/>
    <x v="3"/>
    <n v="6"/>
    <n v="5"/>
    <n v="4.04"/>
  </r>
  <r>
    <x v="1"/>
    <x v="4"/>
    <n v="6"/>
    <n v="6"/>
    <n v="7.48"/>
  </r>
  <r>
    <x v="1"/>
    <x v="2"/>
    <n v="6"/>
    <n v="7"/>
    <n v="3.34"/>
  </r>
  <r>
    <x v="1"/>
    <x v="3"/>
    <n v="6"/>
    <n v="8"/>
    <n v="6.24"/>
  </r>
  <r>
    <x v="1"/>
    <x v="4"/>
    <n v="6"/>
    <n v="9"/>
    <n v="4.34"/>
  </r>
  <r>
    <x v="1"/>
    <x v="1"/>
    <n v="6"/>
    <n v="10"/>
    <n v="3.28"/>
  </r>
  <r>
    <x v="1"/>
    <x v="0"/>
    <n v="6"/>
    <n v="11"/>
    <n v="2.14"/>
  </r>
  <r>
    <x v="2"/>
    <x v="0"/>
    <n v="7"/>
    <n v="1"/>
    <n v="1.6"/>
  </r>
  <r>
    <x v="2"/>
    <x v="1"/>
    <n v="7"/>
    <n v="2"/>
    <n v="3.54"/>
  </r>
  <r>
    <x v="2"/>
    <x v="2"/>
    <n v="7"/>
    <n v="3"/>
    <n v="0.72"/>
  </r>
  <r>
    <x v="2"/>
    <x v="0"/>
    <n v="7"/>
    <n v="4"/>
    <n v="1.32"/>
  </r>
  <r>
    <x v="2"/>
    <x v="3"/>
    <n v="7"/>
    <n v="5"/>
    <n v="2.78"/>
  </r>
  <r>
    <x v="2"/>
    <x v="4"/>
    <n v="7"/>
    <n v="6"/>
    <n v="2.9"/>
  </r>
  <r>
    <x v="2"/>
    <x v="2"/>
    <n v="7"/>
    <n v="7"/>
    <n v="0.44"/>
  </r>
  <r>
    <x v="2"/>
    <x v="3"/>
    <n v="7"/>
    <n v="8"/>
    <n v="1.5"/>
  </r>
  <r>
    <x v="2"/>
    <x v="4"/>
    <n v="7"/>
    <n v="9"/>
    <n v="3.06"/>
  </r>
  <r>
    <x v="2"/>
    <x v="1"/>
    <n v="7"/>
    <n v="10"/>
    <n v="4.8"/>
  </r>
  <r>
    <x v="2"/>
    <x v="0"/>
    <n v="7"/>
    <n v="11"/>
    <n v="1.46"/>
  </r>
  <r>
    <x v="2"/>
    <x v="0"/>
    <n v="8"/>
    <n v="1"/>
    <n v="0.54"/>
  </r>
  <r>
    <x v="2"/>
    <x v="1"/>
    <n v="8"/>
    <n v="2"/>
    <n v="4.66"/>
  </r>
  <r>
    <x v="2"/>
    <x v="2"/>
    <n v="8"/>
    <n v="3"/>
    <n v="1.3"/>
  </r>
  <r>
    <x v="2"/>
    <x v="0"/>
    <n v="8"/>
    <n v="4"/>
    <n v="2.46"/>
  </r>
  <r>
    <x v="2"/>
    <x v="3"/>
    <n v="8"/>
    <n v="5"/>
    <n v="6.8"/>
  </r>
  <r>
    <x v="2"/>
    <x v="4"/>
    <n v="8"/>
    <n v="6"/>
    <n v="4.2"/>
  </r>
  <r>
    <x v="2"/>
    <x v="2"/>
    <n v="8"/>
    <n v="7"/>
    <n v="0.4"/>
  </r>
  <r>
    <x v="2"/>
    <x v="3"/>
    <n v="8"/>
    <n v="8"/>
    <n v="4.8"/>
  </r>
  <r>
    <x v="2"/>
    <x v="4"/>
    <n v="8"/>
    <n v="9"/>
    <n v="2.2799999999999998"/>
  </r>
  <r>
    <x v="2"/>
    <x v="1"/>
    <n v="8"/>
    <n v="10"/>
    <n v="2.84"/>
  </r>
  <r>
    <x v="2"/>
    <x v="0"/>
    <n v="8"/>
    <n v="11"/>
    <n v="2.16"/>
  </r>
  <r>
    <x v="2"/>
    <x v="0"/>
    <n v="9"/>
    <n v="1"/>
    <n v="1.64"/>
  </r>
  <r>
    <x v="2"/>
    <x v="1"/>
    <n v="9"/>
    <n v="2"/>
    <n v="8.94"/>
  </r>
  <r>
    <x v="2"/>
    <x v="2"/>
    <n v="9"/>
    <n v="3"/>
    <n v="0.98"/>
  </r>
  <r>
    <x v="2"/>
    <x v="0"/>
    <n v="9"/>
    <n v="4"/>
    <n v="2.92"/>
  </r>
  <r>
    <x v="2"/>
    <x v="3"/>
    <n v="9"/>
    <n v="5"/>
    <n v="2.88"/>
  </r>
  <r>
    <x v="2"/>
    <x v="4"/>
    <n v="9"/>
    <n v="6"/>
    <n v="5.14"/>
  </r>
  <r>
    <x v="2"/>
    <x v="2"/>
    <n v="9"/>
    <n v="7"/>
    <n v="0"/>
  </r>
  <r>
    <x v="2"/>
    <x v="3"/>
    <n v="9"/>
    <n v="8"/>
    <n v="2.56"/>
  </r>
  <r>
    <x v="2"/>
    <x v="4"/>
    <n v="9"/>
    <n v="9"/>
    <n v="2.8"/>
  </r>
  <r>
    <x v="2"/>
    <x v="1"/>
    <n v="9"/>
    <n v="10"/>
    <n v="4.22"/>
  </r>
  <r>
    <x v="2"/>
    <x v="0"/>
    <n v="9"/>
    <n v="11"/>
    <n v="1.58"/>
  </r>
  <r>
    <x v="3"/>
    <x v="0"/>
    <n v="10"/>
    <n v="1"/>
    <n v="3.98"/>
  </r>
  <r>
    <x v="3"/>
    <x v="1"/>
    <n v="10"/>
    <n v="2"/>
    <n v="11.8"/>
  </r>
  <r>
    <x v="3"/>
    <x v="2"/>
    <n v="10"/>
    <n v="3"/>
    <n v="3.1"/>
  </r>
  <r>
    <x v="3"/>
    <x v="0"/>
    <n v="10"/>
    <n v="4"/>
    <n v="5.38"/>
  </r>
  <r>
    <x v="3"/>
    <x v="3"/>
    <n v="10"/>
    <n v="5"/>
    <n v="9.34"/>
  </r>
  <r>
    <x v="3"/>
    <x v="4"/>
    <n v="10"/>
    <n v="6"/>
    <n v="5.34"/>
  </r>
  <r>
    <x v="3"/>
    <x v="2"/>
    <n v="10"/>
    <n v="7"/>
    <n v="3.4"/>
  </r>
  <r>
    <x v="3"/>
    <x v="3"/>
    <n v="10"/>
    <n v="8"/>
    <n v="5.64"/>
  </r>
  <r>
    <x v="3"/>
    <x v="4"/>
    <n v="10"/>
    <n v="9"/>
    <n v="6.28"/>
  </r>
  <r>
    <x v="3"/>
    <x v="1"/>
    <n v="10"/>
    <n v="10"/>
    <n v="9.14"/>
  </r>
  <r>
    <x v="3"/>
    <x v="0"/>
    <n v="10"/>
    <n v="11"/>
    <n v="4.68"/>
  </r>
  <r>
    <x v="3"/>
    <x v="0"/>
    <n v="11"/>
    <n v="1"/>
    <n v="3.08"/>
  </r>
  <r>
    <x v="3"/>
    <x v="1"/>
    <n v="11"/>
    <n v="2"/>
    <n v="9.36"/>
  </r>
  <r>
    <x v="3"/>
    <x v="2"/>
    <n v="11"/>
    <n v="3"/>
    <n v="3.68"/>
  </r>
  <r>
    <x v="3"/>
    <x v="0"/>
    <n v="11"/>
    <n v="4"/>
    <n v="5.34"/>
  </r>
  <r>
    <x v="3"/>
    <x v="3"/>
    <n v="11"/>
    <n v="5"/>
    <n v="5.24"/>
  </r>
  <r>
    <x v="3"/>
    <x v="4"/>
    <n v="11"/>
    <n v="6"/>
    <n v="9.42"/>
  </r>
  <r>
    <x v="3"/>
    <x v="2"/>
    <n v="11"/>
    <n v="7"/>
    <n v="3.22"/>
  </r>
  <r>
    <x v="3"/>
    <x v="3"/>
    <n v="11"/>
    <n v="8"/>
    <n v="4.1399999999999997"/>
  </r>
  <r>
    <x v="3"/>
    <x v="4"/>
    <n v="11"/>
    <n v="9"/>
    <n v="2.9"/>
  </r>
  <r>
    <x v="3"/>
    <x v="1"/>
    <n v="11"/>
    <n v="10"/>
    <n v="8.32"/>
  </r>
  <r>
    <x v="3"/>
    <x v="0"/>
    <n v="11"/>
    <n v="11"/>
    <n v="2.12"/>
  </r>
  <r>
    <x v="3"/>
    <x v="0"/>
    <n v="12"/>
    <n v="1"/>
    <n v="3.18"/>
  </r>
  <r>
    <x v="3"/>
    <x v="1"/>
    <n v="12"/>
    <n v="2"/>
    <n v="6.7"/>
  </r>
  <r>
    <x v="3"/>
    <x v="2"/>
    <n v="12"/>
    <n v="3"/>
    <n v="2"/>
  </r>
  <r>
    <x v="3"/>
    <x v="0"/>
    <n v="12"/>
    <n v="4"/>
    <n v="8.18"/>
  </r>
  <r>
    <x v="3"/>
    <x v="3"/>
    <n v="12"/>
    <n v="5"/>
    <n v="9.0399999999999991"/>
  </r>
  <r>
    <x v="3"/>
    <x v="4"/>
    <n v="12"/>
    <n v="6"/>
    <n v="5.94"/>
  </r>
  <r>
    <x v="3"/>
    <x v="2"/>
    <n v="12"/>
    <n v="7"/>
    <n v="2.76"/>
  </r>
  <r>
    <x v="3"/>
    <x v="3"/>
    <n v="12"/>
    <n v="8"/>
    <n v="2.6"/>
  </r>
  <r>
    <x v="3"/>
    <x v="4"/>
    <n v="12"/>
    <n v="9"/>
    <n v="5.58"/>
  </r>
  <r>
    <x v="3"/>
    <x v="1"/>
    <n v="12"/>
    <n v="10"/>
    <n v="7.42"/>
  </r>
  <r>
    <x v="3"/>
    <x v="0"/>
    <n v="12"/>
    <n v="11"/>
    <n v="4.559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84D1B-C05E-4BAA-8032-A89AEA30AD86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I3:J28" firstHeaderRow="1" firstDataRow="1" firstDataCol="1"/>
  <pivotFields count="5"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Media di pruning_weight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C0C1-2060-44E8-8D51-BE22A1695A51}">
  <dimension ref="A1:EX7"/>
  <sheetViews>
    <sheetView zoomScale="70" zoomScaleNormal="70" workbookViewId="0">
      <selection activeCell="AO11" sqref="AO11"/>
    </sheetView>
  </sheetViews>
  <sheetFormatPr defaultRowHeight="14.4"/>
  <cols>
    <col min="1" max="1" width="5.21875" bestFit="1" customWidth="1"/>
    <col min="2" max="2" width="15.21875" bestFit="1" customWidth="1"/>
    <col min="3" max="3" width="7.77734375" bestFit="1" customWidth="1"/>
    <col min="4" max="4" width="9.77734375" bestFit="1" customWidth="1"/>
    <col min="5" max="5" width="4.5546875" bestFit="1" customWidth="1"/>
    <col min="6" max="6" width="7.21875" bestFit="1" customWidth="1"/>
    <col min="7" max="7" width="9.21875" bestFit="1" customWidth="1"/>
    <col min="8" max="11" width="22.21875" bestFit="1" customWidth="1"/>
    <col min="12" max="12" width="18.77734375" bestFit="1" customWidth="1"/>
    <col min="13" max="13" width="18.21875" bestFit="1" customWidth="1"/>
    <col min="14" max="14" width="20.77734375" bestFit="1" customWidth="1"/>
    <col min="15" max="15" width="12.44140625" bestFit="1" customWidth="1"/>
    <col min="16" max="16" width="33.5546875" bestFit="1" customWidth="1"/>
    <col min="17" max="18" width="12.21875" bestFit="1" customWidth="1"/>
    <col min="19" max="21" width="10.77734375" bestFit="1" customWidth="1"/>
    <col min="22" max="22" width="9.77734375" bestFit="1" customWidth="1"/>
    <col min="23" max="23" width="13.21875" bestFit="1" customWidth="1"/>
    <col min="24" max="24" width="10.77734375" bestFit="1" customWidth="1"/>
    <col min="25" max="25" width="9.77734375" bestFit="1" customWidth="1"/>
    <col min="26" max="26" width="12.77734375" bestFit="1" customWidth="1"/>
    <col min="27" max="29" width="22.21875" bestFit="1" customWidth="1"/>
    <col min="30" max="30" width="21.77734375" bestFit="1" customWidth="1"/>
    <col min="31" max="31" width="10.5546875" bestFit="1" customWidth="1"/>
    <col min="32" max="33" width="22.21875" bestFit="1" customWidth="1"/>
    <col min="34" max="35" width="18.77734375" bestFit="1" customWidth="1"/>
    <col min="36" max="36" width="30.44140625" bestFit="1" customWidth="1"/>
    <col min="37" max="37" width="18.77734375" bestFit="1" customWidth="1"/>
    <col min="38" max="38" width="37.21875" bestFit="1" customWidth="1"/>
    <col min="39" max="39" width="33.5546875" bestFit="1" customWidth="1"/>
    <col min="40" max="40" width="18.77734375" bestFit="1" customWidth="1"/>
    <col min="41" max="41" width="25" bestFit="1" customWidth="1"/>
    <col min="42" max="42" width="18.77734375" bestFit="1" customWidth="1"/>
    <col min="43" max="43" width="21.77734375" bestFit="1" customWidth="1"/>
    <col min="44" max="44" width="18.77734375" bestFit="1" customWidth="1"/>
    <col min="45" max="45" width="27.44140625" bestFit="1" customWidth="1"/>
    <col min="46" max="47" width="18.77734375" bestFit="1" customWidth="1"/>
    <col min="48" max="49" width="16.77734375" bestFit="1" customWidth="1"/>
    <col min="50" max="53" width="22.21875" bestFit="1" customWidth="1"/>
  </cols>
  <sheetData>
    <row r="1" spans="1:154">
      <c r="A1" s="62"/>
      <c r="B1" s="62"/>
      <c r="C1" s="23"/>
      <c r="D1" s="23"/>
      <c r="E1" s="62"/>
      <c r="F1" s="62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</row>
    <row r="2" spans="1:154">
      <c r="A2" s="63"/>
      <c r="B2" s="63"/>
      <c r="C2" s="23"/>
      <c r="D2" s="23"/>
      <c r="E2" s="63"/>
      <c r="F2" s="6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</row>
    <row r="3" spans="1:154">
      <c r="A3" s="64" t="s">
        <v>347</v>
      </c>
      <c r="B3" s="66" t="s">
        <v>348</v>
      </c>
      <c r="C3" s="32"/>
      <c r="D3" s="68" t="s">
        <v>349</v>
      </c>
      <c r="E3" s="70" t="s">
        <v>410</v>
      </c>
      <c r="F3" s="71"/>
      <c r="G3" s="72"/>
      <c r="H3" s="84" t="s">
        <v>411</v>
      </c>
      <c r="I3" s="85"/>
      <c r="J3" s="85"/>
      <c r="K3" s="85"/>
      <c r="L3" s="85"/>
      <c r="M3" s="85"/>
      <c r="N3" s="85"/>
      <c r="O3" s="85"/>
      <c r="P3" s="86"/>
      <c r="Q3" s="87" t="s">
        <v>350</v>
      </c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9"/>
      <c r="AE3" s="92"/>
      <c r="AF3" s="93"/>
      <c r="AG3" s="94"/>
      <c r="AH3" s="95" t="s">
        <v>351</v>
      </c>
      <c r="AI3" s="96"/>
      <c r="AJ3" s="96"/>
      <c r="AK3" s="96"/>
      <c r="AL3" s="96"/>
      <c r="AM3" s="97"/>
      <c r="AN3" s="73" t="s">
        <v>352</v>
      </c>
      <c r="AO3" s="74"/>
      <c r="AP3" s="74"/>
      <c r="AQ3" s="74"/>
      <c r="AR3" s="74"/>
      <c r="AS3" s="74"/>
      <c r="AT3" s="74"/>
      <c r="AU3" s="74"/>
      <c r="AV3" s="74"/>
      <c r="AW3" s="75"/>
      <c r="AX3" s="76" t="s">
        <v>353</v>
      </c>
      <c r="AY3" s="77"/>
      <c r="AZ3" s="77"/>
      <c r="BA3" s="77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>
      <c r="A4" s="65"/>
      <c r="B4" s="67"/>
      <c r="C4" s="33"/>
      <c r="D4" s="69"/>
      <c r="E4" s="34" t="s">
        <v>2</v>
      </c>
      <c r="F4" s="34" t="s">
        <v>412</v>
      </c>
      <c r="G4" s="34" t="s">
        <v>4</v>
      </c>
      <c r="H4" s="34" t="s">
        <v>413</v>
      </c>
      <c r="I4" s="34" t="s">
        <v>414</v>
      </c>
      <c r="J4" s="34" t="s">
        <v>415</v>
      </c>
      <c r="K4" s="34" t="s">
        <v>416</v>
      </c>
      <c r="L4" s="46" t="s">
        <v>417</v>
      </c>
      <c r="M4" s="78" t="s">
        <v>418</v>
      </c>
      <c r="N4" s="79"/>
      <c r="O4" s="80"/>
      <c r="P4" s="38" t="s">
        <v>419</v>
      </c>
      <c r="Q4" s="81" t="s">
        <v>420</v>
      </c>
      <c r="R4" s="82"/>
      <c r="S4" s="82"/>
      <c r="T4" s="82"/>
      <c r="U4" s="82"/>
      <c r="V4" s="82"/>
      <c r="W4" s="83"/>
      <c r="X4" s="81" t="s">
        <v>421</v>
      </c>
      <c r="Y4" s="82"/>
      <c r="Z4" s="83"/>
      <c r="AA4" s="34" t="s">
        <v>354</v>
      </c>
      <c r="AB4" s="34" t="s">
        <v>355</v>
      </c>
      <c r="AC4" s="34" t="s">
        <v>356</v>
      </c>
      <c r="AD4" s="34" t="s">
        <v>357</v>
      </c>
      <c r="AE4" s="35" t="s">
        <v>358</v>
      </c>
      <c r="AF4" s="36" t="s">
        <v>359</v>
      </c>
      <c r="AG4" s="37" t="s">
        <v>31</v>
      </c>
      <c r="AH4" s="34" t="s">
        <v>360</v>
      </c>
      <c r="AI4" s="34" t="s">
        <v>361</v>
      </c>
      <c r="AJ4" s="34" t="s">
        <v>362</v>
      </c>
      <c r="AK4" s="34" t="s">
        <v>363</v>
      </c>
      <c r="AL4" s="34" t="s">
        <v>364</v>
      </c>
      <c r="AM4" s="34" t="s">
        <v>365</v>
      </c>
      <c r="AN4" s="34" t="s">
        <v>366</v>
      </c>
      <c r="AO4" s="34" t="s">
        <v>367</v>
      </c>
      <c r="AP4" s="34" t="s">
        <v>368</v>
      </c>
      <c r="AQ4" s="34" t="s">
        <v>369</v>
      </c>
      <c r="AR4" s="34" t="s">
        <v>370</v>
      </c>
      <c r="AS4" s="34" t="s">
        <v>371</v>
      </c>
      <c r="AT4" s="34" t="s">
        <v>372</v>
      </c>
      <c r="AU4" s="34" t="s">
        <v>373</v>
      </c>
      <c r="AV4" s="38" t="s">
        <v>374</v>
      </c>
      <c r="AW4" s="38" t="s">
        <v>375</v>
      </c>
      <c r="AX4" s="39" t="s">
        <v>376</v>
      </c>
      <c r="AY4" s="39" t="s">
        <v>377</v>
      </c>
      <c r="AZ4" s="39" t="s">
        <v>378</v>
      </c>
      <c r="BA4" s="39" t="s">
        <v>379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>
      <c r="A5" s="65"/>
      <c r="B5" s="67"/>
      <c r="C5" s="40"/>
      <c r="D5" s="69"/>
      <c r="E5" s="47"/>
      <c r="F5" s="47"/>
      <c r="G5" s="47"/>
      <c r="H5" s="42" t="s">
        <v>380</v>
      </c>
      <c r="I5" s="42" t="s">
        <v>380</v>
      </c>
      <c r="J5" s="42" t="s">
        <v>380</v>
      </c>
      <c r="K5" s="42" t="s">
        <v>380</v>
      </c>
      <c r="L5" s="48" t="s">
        <v>422</v>
      </c>
      <c r="M5" s="78" t="s">
        <v>423</v>
      </c>
      <c r="N5" s="79"/>
      <c r="O5" s="80"/>
      <c r="P5" s="38" t="s">
        <v>423</v>
      </c>
      <c r="Q5" s="81" t="s">
        <v>380</v>
      </c>
      <c r="R5" s="82"/>
      <c r="S5" s="82"/>
      <c r="T5" s="82"/>
      <c r="U5" s="82"/>
      <c r="V5" s="82"/>
      <c r="W5" s="83"/>
      <c r="X5" s="81" t="s">
        <v>380</v>
      </c>
      <c r="Y5" s="82"/>
      <c r="Z5" s="83"/>
      <c r="AA5" s="34" t="s">
        <v>380</v>
      </c>
      <c r="AB5" s="34" t="s">
        <v>380</v>
      </c>
      <c r="AC5" s="34" t="s">
        <v>380</v>
      </c>
      <c r="AD5" s="34" t="s">
        <v>381</v>
      </c>
      <c r="AE5" s="41"/>
      <c r="AF5" s="36" t="s">
        <v>380</v>
      </c>
      <c r="AG5" s="37" t="s">
        <v>380</v>
      </c>
      <c r="AH5" s="34" t="s">
        <v>382</v>
      </c>
      <c r="AI5" s="34" t="s">
        <v>382</v>
      </c>
      <c r="AJ5" s="34" t="s">
        <v>382</v>
      </c>
      <c r="AK5" s="34" t="s">
        <v>382</v>
      </c>
      <c r="AL5" s="34" t="s">
        <v>383</v>
      </c>
      <c r="AM5" s="34" t="s">
        <v>383</v>
      </c>
      <c r="AN5" s="34" t="s">
        <v>382</v>
      </c>
      <c r="AO5" s="34" t="s">
        <v>382</v>
      </c>
      <c r="AP5" s="34" t="s">
        <v>382</v>
      </c>
      <c r="AQ5" s="34" t="s">
        <v>382</v>
      </c>
      <c r="AR5" s="34" t="s">
        <v>382</v>
      </c>
      <c r="AS5" s="34" t="s">
        <v>382</v>
      </c>
      <c r="AT5" s="34" t="s">
        <v>384</v>
      </c>
      <c r="AU5" s="34" t="s">
        <v>384</v>
      </c>
      <c r="AV5" s="38" t="s">
        <v>385</v>
      </c>
      <c r="AW5" s="38" t="s">
        <v>385</v>
      </c>
      <c r="AX5" s="42" t="s">
        <v>380</v>
      </c>
      <c r="AY5" s="42" t="s">
        <v>380</v>
      </c>
      <c r="AZ5" s="42" t="s">
        <v>380</v>
      </c>
      <c r="BA5" s="42" t="s">
        <v>380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</row>
    <row r="6" spans="1:154" ht="111">
      <c r="A6" s="65"/>
      <c r="B6" s="67"/>
      <c r="C6" s="40"/>
      <c r="D6" s="69"/>
      <c r="E6" s="41"/>
      <c r="F6" s="41"/>
      <c r="G6" s="41"/>
      <c r="H6" s="41"/>
      <c r="I6" s="43" t="s">
        <v>424</v>
      </c>
      <c r="J6" s="43" t="s">
        <v>425</v>
      </c>
      <c r="K6" s="43" t="s">
        <v>426</v>
      </c>
      <c r="L6" s="44" t="s">
        <v>427</v>
      </c>
      <c r="M6" s="44" t="s">
        <v>428</v>
      </c>
      <c r="N6" s="44" t="s">
        <v>429</v>
      </c>
      <c r="O6" s="44" t="s">
        <v>430</v>
      </c>
      <c r="P6" s="44" t="s">
        <v>431</v>
      </c>
      <c r="Q6" s="35" t="s">
        <v>432</v>
      </c>
      <c r="R6" s="35" t="s">
        <v>432</v>
      </c>
      <c r="S6" s="35" t="s">
        <v>433</v>
      </c>
      <c r="T6" s="35" t="s">
        <v>433</v>
      </c>
      <c r="U6" s="35" t="s">
        <v>434</v>
      </c>
      <c r="V6" s="35" t="s">
        <v>435</v>
      </c>
      <c r="W6" s="35" t="s">
        <v>436</v>
      </c>
      <c r="X6" s="35" t="s">
        <v>434</v>
      </c>
      <c r="Y6" s="35" t="s">
        <v>435</v>
      </c>
      <c r="Z6" s="35" t="s">
        <v>436</v>
      </c>
      <c r="AA6" s="43" t="s">
        <v>386</v>
      </c>
      <c r="AB6" s="43" t="s">
        <v>387</v>
      </c>
      <c r="AC6" s="43" t="s">
        <v>388</v>
      </c>
      <c r="AD6" s="43" t="s">
        <v>389</v>
      </c>
      <c r="AE6" s="43"/>
      <c r="AF6" s="43" t="s">
        <v>390</v>
      </c>
      <c r="AG6" s="43" t="s">
        <v>391</v>
      </c>
      <c r="AH6" s="43" t="s">
        <v>392</v>
      </c>
      <c r="AI6" s="43" t="s">
        <v>393</v>
      </c>
      <c r="AJ6" s="35" t="s">
        <v>394</v>
      </c>
      <c r="AK6" s="35" t="s">
        <v>395</v>
      </c>
      <c r="AL6" s="43" t="s">
        <v>396</v>
      </c>
      <c r="AM6" s="43" t="s">
        <v>397</v>
      </c>
      <c r="AN6" s="43" t="s">
        <v>398</v>
      </c>
      <c r="AO6" s="43" t="s">
        <v>399</v>
      </c>
      <c r="AP6" s="43" t="s">
        <v>400</v>
      </c>
      <c r="AQ6" s="43" t="s">
        <v>399</v>
      </c>
      <c r="AR6" s="43" t="s">
        <v>401</v>
      </c>
      <c r="AS6" s="43" t="s">
        <v>399</v>
      </c>
      <c r="AT6" s="43" t="s">
        <v>402</v>
      </c>
      <c r="AU6" s="43" t="s">
        <v>403</v>
      </c>
      <c r="AV6" s="44" t="s">
        <v>404</v>
      </c>
      <c r="AW6" s="44" t="s">
        <v>405</v>
      </c>
      <c r="AX6" s="43" t="s">
        <v>406</v>
      </c>
      <c r="AY6" s="43" t="s">
        <v>406</v>
      </c>
      <c r="AZ6" s="43" t="s">
        <v>406</v>
      </c>
      <c r="BA6" s="43" t="s">
        <v>406</v>
      </c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</row>
    <row r="7" spans="1:154">
      <c r="A7" s="90" t="s">
        <v>407</v>
      </c>
      <c r="B7" s="90"/>
      <c r="C7" s="45" t="s">
        <v>37</v>
      </c>
      <c r="D7" s="45" t="s">
        <v>23</v>
      </c>
      <c r="E7" s="91"/>
      <c r="F7" s="91"/>
      <c r="G7" s="45"/>
      <c r="H7" s="45"/>
      <c r="I7" s="45"/>
      <c r="J7" s="45"/>
      <c r="K7" s="45"/>
      <c r="L7" s="49"/>
      <c r="M7" s="49" t="s">
        <v>36</v>
      </c>
      <c r="N7" s="49" t="s">
        <v>437</v>
      </c>
      <c r="O7" s="49" t="s">
        <v>438</v>
      </c>
      <c r="P7" s="49" t="s">
        <v>33</v>
      </c>
      <c r="Q7" s="45" t="s">
        <v>439</v>
      </c>
      <c r="R7" s="45" t="s">
        <v>440</v>
      </c>
      <c r="S7" s="45" t="s">
        <v>439</v>
      </c>
      <c r="T7" s="45" t="s">
        <v>440</v>
      </c>
      <c r="U7" s="45" t="s">
        <v>439</v>
      </c>
      <c r="V7" s="45" t="s">
        <v>440</v>
      </c>
      <c r="W7" s="45" t="s">
        <v>441</v>
      </c>
      <c r="X7" s="45" t="s">
        <v>34</v>
      </c>
      <c r="Y7" s="45" t="s">
        <v>35</v>
      </c>
      <c r="Z7" s="45" t="s">
        <v>305</v>
      </c>
      <c r="AA7" s="45" t="s">
        <v>341</v>
      </c>
      <c r="AB7" s="45" t="s">
        <v>408</v>
      </c>
      <c r="AC7" s="45" t="s">
        <v>409</v>
      </c>
      <c r="AD7" s="45" t="s">
        <v>340</v>
      </c>
      <c r="AE7" s="45"/>
      <c r="AF7" s="45"/>
      <c r="AG7" s="45"/>
      <c r="AH7" s="45"/>
      <c r="AI7" s="45"/>
      <c r="AJ7" s="45" t="s">
        <v>339</v>
      </c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</row>
  </sheetData>
  <mergeCells count="22">
    <mergeCell ref="X5:Z5"/>
    <mergeCell ref="A7:B7"/>
    <mergeCell ref="E7:F7"/>
    <mergeCell ref="AE3:AG3"/>
    <mergeCell ref="AH3:AM3"/>
    <mergeCell ref="M5:O5"/>
    <mergeCell ref="Q5:W5"/>
    <mergeCell ref="AN3:AW3"/>
    <mergeCell ref="AX3:BA3"/>
    <mergeCell ref="M4:O4"/>
    <mergeCell ref="Q4:W4"/>
    <mergeCell ref="X4:Z4"/>
    <mergeCell ref="H3:P3"/>
    <mergeCell ref="Q3:AD3"/>
    <mergeCell ref="A1:B1"/>
    <mergeCell ref="E1:F1"/>
    <mergeCell ref="A2:B2"/>
    <mergeCell ref="E2:F2"/>
    <mergeCell ref="A3:A6"/>
    <mergeCell ref="B3:B6"/>
    <mergeCell ref="D3:D6"/>
    <mergeCell ref="E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936D-6ED6-46A2-9E0A-18089A8053B3}">
  <dimension ref="A1:AJ163"/>
  <sheetViews>
    <sheetView tabSelected="1" zoomScale="70" zoomScaleNormal="70" workbookViewId="0">
      <selection activeCell="L32" sqref="L32"/>
    </sheetView>
  </sheetViews>
  <sheetFormatPr defaultColWidth="8.77734375" defaultRowHeight="13.8"/>
  <cols>
    <col min="1" max="1" width="6" style="1" bestFit="1" customWidth="1"/>
    <col min="2" max="2" width="11.77734375" style="1" bestFit="1" customWidth="1"/>
    <col min="3" max="3" width="9.5546875" style="1" bestFit="1" customWidth="1"/>
    <col min="4" max="4" width="5.44140625" style="1" bestFit="1" customWidth="1"/>
    <col min="5" max="5" width="5.77734375" style="1" bestFit="1" customWidth="1"/>
    <col min="6" max="6" width="13" style="1" bestFit="1" customWidth="1"/>
    <col min="7" max="7" width="23.21875" style="1" customWidth="1"/>
    <col min="8" max="8" width="23.5546875" style="1" customWidth="1"/>
    <col min="9" max="10" width="23.21875" style="1" customWidth="1"/>
    <col min="11" max="12" width="23.5546875" style="1" customWidth="1"/>
    <col min="13" max="13" width="10.5546875" style="1" customWidth="1"/>
    <col min="14" max="14" width="10.77734375" style="1" customWidth="1"/>
    <col min="15" max="16" width="12.5546875" style="1" customWidth="1"/>
    <col min="17" max="17" width="16" style="1" customWidth="1"/>
    <col min="18" max="18" width="7.77734375" style="1" customWidth="1"/>
    <col min="19" max="19" width="8.21875" style="1" customWidth="1"/>
    <col min="20" max="20" width="15" style="1" customWidth="1"/>
    <col min="21" max="22" width="15.44140625" style="1" customWidth="1"/>
    <col min="23" max="23" width="18.77734375" style="1" customWidth="1"/>
    <col min="24" max="24" width="12.5546875" style="1" customWidth="1"/>
    <col min="25" max="25" width="13.21875" style="1" bestFit="1" customWidth="1"/>
    <col min="26" max="26" width="22.5546875" style="1" bestFit="1" customWidth="1"/>
    <col min="27" max="27" width="14" style="1" bestFit="1" customWidth="1"/>
    <col min="28" max="28" width="11.21875" style="1" bestFit="1" customWidth="1"/>
    <col min="29" max="29" width="9.21875" style="1" bestFit="1" customWidth="1"/>
    <col min="30" max="30" width="12.44140625" style="1" bestFit="1" customWidth="1"/>
    <col min="31" max="31" width="21" style="1" bestFit="1" customWidth="1"/>
    <col min="32" max="32" width="18.77734375" style="1" bestFit="1" customWidth="1"/>
    <col min="33" max="33" width="15.21875" style="1" customWidth="1"/>
    <col min="34" max="36" width="8.77734375" style="1" customWidth="1"/>
    <col min="37" max="16384" width="8.77734375" style="1"/>
  </cols>
  <sheetData>
    <row r="1" spans="1:36" s="29" customFormat="1">
      <c r="G1" s="29" t="s">
        <v>312</v>
      </c>
      <c r="H1" s="29" t="s">
        <v>312</v>
      </c>
      <c r="I1" s="29" t="s">
        <v>312</v>
      </c>
      <c r="J1" s="29" t="s">
        <v>312</v>
      </c>
      <c r="K1" s="29" t="s">
        <v>312</v>
      </c>
      <c r="L1" s="29" t="s">
        <v>312</v>
      </c>
      <c r="O1" s="29" t="s">
        <v>313</v>
      </c>
      <c r="P1" s="29" t="s">
        <v>313</v>
      </c>
      <c r="Q1" s="29" t="s">
        <v>313</v>
      </c>
      <c r="R1" s="29" t="s">
        <v>314</v>
      </c>
      <c r="S1" s="29" t="s">
        <v>314</v>
      </c>
      <c r="T1" s="29" t="s">
        <v>314</v>
      </c>
      <c r="U1" s="29" t="s">
        <v>314</v>
      </c>
      <c r="V1" s="29" t="s">
        <v>314</v>
      </c>
      <c r="W1" s="29" t="s">
        <v>314</v>
      </c>
      <c r="X1" s="29" t="s">
        <v>343</v>
      </c>
      <c r="Y1" s="29" t="s">
        <v>337</v>
      </c>
      <c r="Z1" s="29" t="s">
        <v>346</v>
      </c>
      <c r="AA1" s="29" t="s">
        <v>320</v>
      </c>
      <c r="AB1" s="29" t="s">
        <v>322</v>
      </c>
      <c r="AD1" s="29" t="s">
        <v>323</v>
      </c>
      <c r="AE1" s="30" t="s">
        <v>338</v>
      </c>
      <c r="AF1" s="29" t="s">
        <v>324</v>
      </c>
      <c r="AG1" s="29" t="s">
        <v>327</v>
      </c>
    </row>
    <row r="2" spans="1:36" s="29" customFormat="1">
      <c r="A2" s="29" t="s">
        <v>0</v>
      </c>
      <c r="B2" s="29" t="s">
        <v>1</v>
      </c>
      <c r="C2" s="29" t="s">
        <v>37</v>
      </c>
      <c r="D2" s="29" t="s">
        <v>2</v>
      </c>
      <c r="E2" s="29" t="s">
        <v>3</v>
      </c>
      <c r="F2" s="29" t="s">
        <v>23</v>
      </c>
      <c r="G2" s="29" t="s">
        <v>308</v>
      </c>
      <c r="H2" s="29" t="s">
        <v>306</v>
      </c>
      <c r="I2" s="29" t="s">
        <v>307</v>
      </c>
      <c r="J2" s="29" t="s">
        <v>309</v>
      </c>
      <c r="K2" s="29" t="s">
        <v>310</v>
      </c>
      <c r="L2" s="29" t="s">
        <v>311</v>
      </c>
      <c r="M2" s="29" t="s">
        <v>36</v>
      </c>
      <c r="N2" s="29" t="s">
        <v>33</v>
      </c>
      <c r="O2" s="29" t="s">
        <v>34</v>
      </c>
      <c r="P2" s="29" t="s">
        <v>35</v>
      </c>
      <c r="Q2" s="29" t="s">
        <v>305</v>
      </c>
      <c r="R2" s="29" t="s">
        <v>342</v>
      </c>
      <c r="S2" s="29" t="s">
        <v>341</v>
      </c>
      <c r="T2" s="29" t="s">
        <v>316</v>
      </c>
      <c r="U2" s="29" t="s">
        <v>317</v>
      </c>
      <c r="V2" s="29" t="s">
        <v>318</v>
      </c>
      <c r="W2" s="29" t="s">
        <v>340</v>
      </c>
      <c r="X2" s="29" t="s">
        <v>456</v>
      </c>
      <c r="Y2" s="29" t="s">
        <v>319</v>
      </c>
      <c r="Z2" s="29" t="s">
        <v>345</v>
      </c>
      <c r="AA2" s="29" t="s">
        <v>335</v>
      </c>
      <c r="AB2" s="29" t="s">
        <v>321</v>
      </c>
      <c r="AC2" s="29" t="s">
        <v>14</v>
      </c>
      <c r="AD2" s="29" t="s">
        <v>457</v>
      </c>
      <c r="AE2" s="29" t="s">
        <v>339</v>
      </c>
      <c r="AF2" s="29" t="s">
        <v>325</v>
      </c>
      <c r="AG2" s="29" t="s">
        <v>326</v>
      </c>
      <c r="AH2" s="29" t="s">
        <v>458</v>
      </c>
      <c r="AI2" s="29" t="s">
        <v>459</v>
      </c>
      <c r="AJ2" s="29" t="s">
        <v>460</v>
      </c>
    </row>
    <row r="3" spans="1:36">
      <c r="A3" s="1">
        <v>2025</v>
      </c>
      <c r="B3" s="1">
        <v>1</v>
      </c>
      <c r="C3" s="1" t="s">
        <v>5</v>
      </c>
      <c r="D3" s="1">
        <v>2</v>
      </c>
      <c r="E3" s="1">
        <v>2</v>
      </c>
      <c r="F3" s="1" t="s">
        <v>6</v>
      </c>
      <c r="G3" s="1">
        <v>21.85</v>
      </c>
      <c r="H3" s="1">
        <v>27.39</v>
      </c>
      <c r="I3" s="1">
        <v>27.97</v>
      </c>
      <c r="J3" s="1">
        <v>24.93</v>
      </c>
      <c r="K3" s="1">
        <v>30.09</v>
      </c>
      <c r="L3" s="1">
        <v>27.07</v>
      </c>
      <c r="M3" s="1">
        <v>11</v>
      </c>
      <c r="N3" s="1">
        <v>7</v>
      </c>
      <c r="O3" s="1">
        <f>(AVERAGE(G3,H3)/20)^2*PI()</f>
        <v>4.760646985136483</v>
      </c>
      <c r="P3" s="1">
        <f>(AVERAGE(I3:L3)/20)^2*PI()</f>
        <v>5.9460549126870994</v>
      </c>
      <c r="Q3" s="1">
        <f>P3-O3</f>
        <v>1.1854079275506164</v>
      </c>
      <c r="R3" s="1">
        <v>118</v>
      </c>
      <c r="S3" s="1">
        <v>212</v>
      </c>
      <c r="T3" s="1">
        <f>30+40+38+36+10+29+27+39+44+40+37+48+41+43</f>
        <v>502</v>
      </c>
      <c r="U3" s="1">
        <f>17+19+33+28+28+38+23+31+39+62+44+16+56+57+168</f>
        <v>659</v>
      </c>
      <c r="V3" s="1">
        <v>88</v>
      </c>
      <c r="W3" s="1">
        <f t="shared" ref="W3:W72" si="0">T3+U3+V3</f>
        <v>1249</v>
      </c>
      <c r="X3" s="1">
        <f>(250*R3*S3)/1000000</f>
        <v>6.2539999999999996</v>
      </c>
    </row>
    <row r="4" spans="1:36">
      <c r="A4" s="1">
        <v>2025</v>
      </c>
      <c r="B4" s="1">
        <v>1</v>
      </c>
      <c r="C4" s="1" t="s">
        <v>5</v>
      </c>
      <c r="D4" s="1">
        <v>2</v>
      </c>
      <c r="E4" s="1">
        <v>3</v>
      </c>
      <c r="F4" s="1" t="s">
        <v>6</v>
      </c>
      <c r="G4" s="1">
        <v>24.95</v>
      </c>
      <c r="H4" s="1">
        <v>29.02</v>
      </c>
      <c r="I4" s="1">
        <v>29.43</v>
      </c>
      <c r="J4" s="1">
        <v>32.58</v>
      </c>
      <c r="K4" s="1">
        <v>34.56</v>
      </c>
      <c r="L4" s="1">
        <v>34.909999999999997</v>
      </c>
      <c r="M4" s="1">
        <v>2</v>
      </c>
      <c r="N4" s="1">
        <v>3</v>
      </c>
      <c r="O4" s="1">
        <f>(AVERAGE(G4,H4)/20)^2*PI()</f>
        <v>5.7191926531897472</v>
      </c>
      <c r="P4" s="1">
        <f t="shared" ref="P4:P67" si="1">(AVERAGE(I4:L4)/20)^2*PI()</f>
        <v>8.4857315692683244</v>
      </c>
      <c r="Q4" s="1">
        <f t="shared" ref="Q4:Q67" si="2">P4-O4</f>
        <v>2.7665389160785772</v>
      </c>
      <c r="R4" s="1">
        <v>104</v>
      </c>
      <c r="S4" s="1">
        <v>262</v>
      </c>
      <c r="T4" s="1">
        <f>165+34+53+98+14+32+27+37+16+60+73+100+67</f>
        <v>776</v>
      </c>
      <c r="U4" s="1">
        <f>144+29+34+40+10+59+66+41</f>
        <v>423</v>
      </c>
      <c r="V4" s="1">
        <f>50+20+44+20+38+52+15+64+38+41+35+42+58</f>
        <v>517</v>
      </c>
      <c r="W4" s="1">
        <f t="shared" si="0"/>
        <v>1716</v>
      </c>
      <c r="X4" s="1">
        <f t="shared" ref="X4:X23" si="3">(250*R4*S4)/1000000</f>
        <v>6.8120000000000003</v>
      </c>
      <c r="Y4" s="1">
        <v>89</v>
      </c>
      <c r="Z4" s="1">
        <f>Y4/P4</f>
        <v>10.488194126045629</v>
      </c>
      <c r="AA4" s="1">
        <v>19.22</v>
      </c>
      <c r="AB4" s="1">
        <v>10</v>
      </c>
      <c r="AC4" s="1">
        <v>1600</v>
      </c>
      <c r="AD4" s="1">
        <f>(AA4*AC4)/1000</f>
        <v>30.751999999999999</v>
      </c>
      <c r="AE4" s="1">
        <f>AA4/P4</f>
        <v>2.2649785517145729</v>
      </c>
      <c r="AF4" s="1">
        <f t="shared" ref="AF4:AF9" si="4">AA4/Y4*1000</f>
        <v>215.95505617977526</v>
      </c>
      <c r="AG4" s="1">
        <f t="shared" ref="AG4:AG9" si="5">(AB4*AC4)/60</f>
        <v>266.66666666666669</v>
      </c>
    </row>
    <row r="5" spans="1:36">
      <c r="A5" s="1">
        <v>2025</v>
      </c>
      <c r="B5" s="1">
        <v>1</v>
      </c>
      <c r="C5" s="1" t="s">
        <v>5</v>
      </c>
      <c r="D5" s="1">
        <v>2</v>
      </c>
      <c r="E5" s="1">
        <v>4</v>
      </c>
      <c r="F5" s="1" t="s">
        <v>6</v>
      </c>
      <c r="I5" s="54">
        <v>25.54</v>
      </c>
      <c r="J5" s="54">
        <v>23.85</v>
      </c>
      <c r="K5" s="54">
        <v>35.22</v>
      </c>
      <c r="L5" s="54">
        <v>33.15</v>
      </c>
      <c r="P5" s="1">
        <f t="shared" si="1"/>
        <v>6.8071526963159057</v>
      </c>
      <c r="Y5" s="1">
        <v>81</v>
      </c>
      <c r="Z5" s="1">
        <f>Y5/P5</f>
        <v>11.899248278041119</v>
      </c>
      <c r="AA5" s="1">
        <v>13.66</v>
      </c>
      <c r="AB5" s="1">
        <v>10</v>
      </c>
      <c r="AC5" s="1">
        <v>1600</v>
      </c>
      <c r="AD5" s="1">
        <f t="shared" ref="AD5:AD9" si="6">(AA5*AC5)/1000</f>
        <v>21.856000000000002</v>
      </c>
      <c r="AE5" s="1">
        <f>AA5/P5</f>
        <v>2.0067127342968107</v>
      </c>
      <c r="AF5" s="1">
        <f t="shared" si="4"/>
        <v>168.64197530864197</v>
      </c>
      <c r="AG5" s="1">
        <f t="shared" si="5"/>
        <v>266.66666666666669</v>
      </c>
    </row>
    <row r="6" spans="1:36">
      <c r="A6" s="1">
        <v>2025</v>
      </c>
      <c r="B6" s="1">
        <v>2</v>
      </c>
      <c r="C6" s="1" t="s">
        <v>5</v>
      </c>
      <c r="D6" s="1">
        <v>2</v>
      </c>
      <c r="E6" s="1">
        <v>6</v>
      </c>
      <c r="F6" s="1" t="s">
        <v>7</v>
      </c>
      <c r="G6" s="1">
        <v>23.77</v>
      </c>
      <c r="H6" s="1">
        <v>29.79</v>
      </c>
      <c r="I6" s="1">
        <v>29.44</v>
      </c>
      <c r="J6" s="1">
        <v>29.19</v>
      </c>
      <c r="K6" s="1">
        <v>42.12</v>
      </c>
      <c r="L6" s="1">
        <v>38.07</v>
      </c>
      <c r="M6" s="1">
        <v>0</v>
      </c>
      <c r="N6" s="1">
        <v>1</v>
      </c>
      <c r="O6" s="1">
        <f>(AVERAGE(G6,H6)/20)^2*PI()</f>
        <v>5.6326274420668652</v>
      </c>
      <c r="P6" s="1">
        <f t="shared" si="1"/>
        <v>9.4596262736288654</v>
      </c>
      <c r="Q6" s="1">
        <f t="shared" si="2"/>
        <v>3.8269988315620003</v>
      </c>
      <c r="R6" s="1">
        <v>130</v>
      </c>
      <c r="S6" s="1">
        <v>256</v>
      </c>
      <c r="T6" s="1">
        <f>190+53+46+41+42+25+28+37+53+53+42+38+53+55+50+49</f>
        <v>855</v>
      </c>
      <c r="U6" s="1">
        <f>157+25+29+27+45+28+32+50+39+22+36+47+54+75+22+65+70+23+29+50</f>
        <v>925</v>
      </c>
      <c r="V6" s="1">
        <f>73+16+23+49+48+47+33+29+28+24</f>
        <v>370</v>
      </c>
      <c r="W6" s="1">
        <f t="shared" si="0"/>
        <v>2150</v>
      </c>
      <c r="X6" s="1">
        <f t="shared" si="3"/>
        <v>8.32</v>
      </c>
      <c r="Y6" s="1">
        <v>136</v>
      </c>
      <c r="Z6" s="1">
        <f t="shared" ref="Z6:Z68" si="7">Y6/P6</f>
        <v>14.376889325864266</v>
      </c>
      <c r="AA6" s="1">
        <v>26.16</v>
      </c>
      <c r="AB6" s="1">
        <v>15</v>
      </c>
      <c r="AC6" s="1">
        <v>1600</v>
      </c>
      <c r="AD6" s="1">
        <f t="shared" si="6"/>
        <v>41.856000000000002</v>
      </c>
      <c r="AE6" s="1">
        <f t="shared" ref="AE6:AE68" si="8">AA6/P6</f>
        <v>2.7654369467985971</v>
      </c>
      <c r="AF6" s="1">
        <f t="shared" si="4"/>
        <v>192.35294117647058</v>
      </c>
      <c r="AG6" s="1">
        <f t="shared" si="5"/>
        <v>400</v>
      </c>
    </row>
    <row r="7" spans="1:36">
      <c r="A7" s="1">
        <v>2025</v>
      </c>
      <c r="B7" s="1">
        <v>2</v>
      </c>
      <c r="C7" s="1" t="s">
        <v>5</v>
      </c>
      <c r="D7" s="1">
        <v>2</v>
      </c>
      <c r="E7" s="1">
        <v>7</v>
      </c>
      <c r="F7" s="1" t="s">
        <v>7</v>
      </c>
      <c r="G7" s="1">
        <v>28.06</v>
      </c>
      <c r="H7" s="1">
        <v>39.549999999999997</v>
      </c>
      <c r="I7" s="1">
        <v>35.81</v>
      </c>
      <c r="J7" s="1">
        <v>36.909999999999997</v>
      </c>
      <c r="K7" s="1">
        <v>36.08</v>
      </c>
      <c r="L7" s="1">
        <v>47.54</v>
      </c>
      <c r="M7" s="1">
        <v>0</v>
      </c>
      <c r="N7" s="1">
        <v>1</v>
      </c>
      <c r="O7" s="1">
        <f t="shared" ref="O7:O68" si="9">(AVERAGE(G7,H7)/20)^2*PI()</f>
        <v>8.9753576200596328</v>
      </c>
      <c r="P7" s="1">
        <f t="shared" si="1"/>
        <v>11.998034708525745</v>
      </c>
      <c r="Q7" s="1">
        <f t="shared" si="2"/>
        <v>3.0226770884661125</v>
      </c>
      <c r="R7" s="1">
        <v>123</v>
      </c>
      <c r="S7" s="1">
        <v>264</v>
      </c>
      <c r="T7" s="1">
        <f>180+31+10+11+64+60+17+60+48+73+59+80+29+13+49+10+63+70+69</f>
        <v>996</v>
      </c>
      <c r="U7" s="1">
        <f>119+46+44+8+49+46+44</f>
        <v>356</v>
      </c>
      <c r="V7" s="1">
        <f>70+118+36+6+35+30+60+46+59+13+36+62+50+12+44+64+44</f>
        <v>785</v>
      </c>
      <c r="W7" s="1">
        <f t="shared" si="0"/>
        <v>2137</v>
      </c>
      <c r="X7" s="1">
        <f t="shared" si="3"/>
        <v>8.1180000000000003</v>
      </c>
      <c r="Y7" s="1">
        <v>161</v>
      </c>
      <c r="Z7" s="1">
        <f t="shared" si="7"/>
        <v>13.418864331638762</v>
      </c>
      <c r="AA7" s="1">
        <v>25.860000000000003</v>
      </c>
      <c r="AB7" s="1">
        <v>15</v>
      </c>
      <c r="AC7" s="1">
        <v>1600</v>
      </c>
      <c r="AD7" s="1">
        <f t="shared" si="6"/>
        <v>41.376000000000005</v>
      </c>
      <c r="AE7" s="1">
        <f t="shared" si="8"/>
        <v>2.1553529914048348</v>
      </c>
      <c r="AF7" s="1">
        <f t="shared" si="4"/>
        <v>160.62111801242239</v>
      </c>
      <c r="AG7" s="1">
        <f t="shared" si="5"/>
        <v>400</v>
      </c>
    </row>
    <row r="8" spans="1:36">
      <c r="A8" s="1">
        <v>2025</v>
      </c>
      <c r="B8" s="1">
        <v>3</v>
      </c>
      <c r="C8" s="1" t="s">
        <v>5</v>
      </c>
      <c r="D8" s="1">
        <v>2</v>
      </c>
      <c r="E8" s="1">
        <v>10</v>
      </c>
      <c r="F8" s="1" t="s">
        <v>8</v>
      </c>
      <c r="G8" s="1">
        <v>21.26</v>
      </c>
      <c r="H8" s="1">
        <v>12.4</v>
      </c>
      <c r="I8" s="1">
        <v>32.4</v>
      </c>
      <c r="J8" s="1">
        <v>30.35</v>
      </c>
      <c r="K8" s="1">
        <v>19.440000000000001</v>
      </c>
      <c r="L8" s="1">
        <v>18.600000000000001</v>
      </c>
      <c r="M8" s="1">
        <v>0</v>
      </c>
      <c r="N8" s="1">
        <v>2</v>
      </c>
      <c r="O8" s="1">
        <f t="shared" si="9"/>
        <v>2.2246316584434753</v>
      </c>
      <c r="P8" s="1">
        <f t="shared" si="1"/>
        <v>4.9866029442406585</v>
      </c>
      <c r="Q8" s="1">
        <f t="shared" si="2"/>
        <v>2.7619712857971832</v>
      </c>
      <c r="R8" s="1">
        <v>106</v>
      </c>
      <c r="S8" s="1">
        <v>218</v>
      </c>
      <c r="T8" s="1">
        <f>88+67+66+33</f>
        <v>254</v>
      </c>
      <c r="U8" s="1">
        <v>49</v>
      </c>
      <c r="V8" s="1">
        <f>55+49</f>
        <v>104</v>
      </c>
      <c r="W8" s="1">
        <f t="shared" si="0"/>
        <v>407</v>
      </c>
      <c r="X8" s="1">
        <f t="shared" si="3"/>
        <v>5.7770000000000001</v>
      </c>
      <c r="Y8" s="1">
        <v>16</v>
      </c>
      <c r="Z8" s="1">
        <f t="shared" si="7"/>
        <v>3.2085971509882105</v>
      </c>
      <c r="AA8" s="1">
        <v>2.8</v>
      </c>
      <c r="AB8" s="1">
        <v>2</v>
      </c>
      <c r="AC8" s="1">
        <v>1600</v>
      </c>
      <c r="AD8" s="1">
        <f t="shared" si="6"/>
        <v>4.4800000000000004</v>
      </c>
      <c r="AE8" s="1">
        <f t="shared" si="8"/>
        <v>0.56150450142293684</v>
      </c>
      <c r="AF8" s="1">
        <f t="shared" si="4"/>
        <v>175</v>
      </c>
      <c r="AG8" s="1">
        <f t="shared" si="5"/>
        <v>53.333333333333336</v>
      </c>
    </row>
    <row r="9" spans="1:36">
      <c r="A9" s="1">
        <v>2025</v>
      </c>
      <c r="B9" s="1">
        <v>3</v>
      </c>
      <c r="C9" s="1" t="s">
        <v>5</v>
      </c>
      <c r="D9" s="1">
        <v>2</v>
      </c>
      <c r="E9" s="1">
        <v>11</v>
      </c>
      <c r="F9" s="1" t="s">
        <v>8</v>
      </c>
      <c r="G9" s="1">
        <v>17.62</v>
      </c>
      <c r="H9" s="1">
        <v>16.34</v>
      </c>
      <c r="I9" s="1">
        <v>28.42</v>
      </c>
      <c r="J9" s="1">
        <v>28.04</v>
      </c>
      <c r="K9" s="1">
        <v>25.67</v>
      </c>
      <c r="L9" s="1">
        <v>26.61</v>
      </c>
      <c r="M9" s="1">
        <v>0</v>
      </c>
      <c r="N9" s="1">
        <v>1</v>
      </c>
      <c r="O9" s="1">
        <f t="shared" si="9"/>
        <v>2.2644631263001762</v>
      </c>
      <c r="P9" s="1">
        <f t="shared" si="1"/>
        <v>5.8042826902122249</v>
      </c>
      <c r="Q9" s="1">
        <f t="shared" si="2"/>
        <v>3.5398195639120487</v>
      </c>
      <c r="R9" s="1">
        <v>124</v>
      </c>
      <c r="S9" s="1">
        <v>256</v>
      </c>
      <c r="T9" s="1">
        <v>68</v>
      </c>
      <c r="U9" s="1">
        <v>74</v>
      </c>
      <c r="V9" s="1">
        <f>145+21+20+7+10+36</f>
        <v>239</v>
      </c>
      <c r="W9" s="1">
        <f t="shared" si="0"/>
        <v>381</v>
      </c>
      <c r="X9" s="1">
        <f t="shared" si="3"/>
        <v>7.9359999999999999</v>
      </c>
      <c r="Y9" s="1">
        <v>6</v>
      </c>
      <c r="Z9" s="1">
        <f t="shared" si="7"/>
        <v>1.0337194654763824</v>
      </c>
      <c r="AA9" s="1">
        <v>0.92000000000000015</v>
      </c>
      <c r="AB9" s="1">
        <v>2</v>
      </c>
      <c r="AC9" s="1">
        <v>1600</v>
      </c>
      <c r="AD9" s="1">
        <f t="shared" si="6"/>
        <v>1.4720000000000002</v>
      </c>
      <c r="AE9" s="1">
        <f t="shared" si="8"/>
        <v>0.15850365137304534</v>
      </c>
      <c r="AF9" s="1">
        <f t="shared" si="4"/>
        <v>153.33333333333334</v>
      </c>
      <c r="AG9" s="1">
        <f t="shared" si="5"/>
        <v>53.333333333333336</v>
      </c>
    </row>
    <row r="10" spans="1:36">
      <c r="A10" s="1">
        <v>2025</v>
      </c>
      <c r="B10" s="1">
        <v>4</v>
      </c>
      <c r="C10" s="1" t="s">
        <v>5</v>
      </c>
      <c r="D10" s="1">
        <v>2</v>
      </c>
      <c r="E10" s="1">
        <v>14</v>
      </c>
      <c r="F10" s="1" t="s">
        <v>6</v>
      </c>
      <c r="G10" s="1">
        <v>25.41</v>
      </c>
      <c r="H10" s="1">
        <v>30.2</v>
      </c>
      <c r="I10" s="1">
        <v>28.24</v>
      </c>
      <c r="J10" s="1">
        <v>31.23</v>
      </c>
      <c r="K10" s="1">
        <v>35.799999999999997</v>
      </c>
      <c r="L10" s="1">
        <v>31.99</v>
      </c>
      <c r="M10" s="1">
        <v>0</v>
      </c>
      <c r="N10" s="1">
        <v>4</v>
      </c>
      <c r="O10" s="1">
        <f t="shared" si="9"/>
        <v>6.0720547692446249</v>
      </c>
      <c r="P10" s="1">
        <f t="shared" si="1"/>
        <v>7.9497548531650342</v>
      </c>
      <c r="Q10" s="1">
        <f t="shared" si="2"/>
        <v>1.8777000839204092</v>
      </c>
      <c r="R10" s="1">
        <v>71</v>
      </c>
      <c r="S10" s="1">
        <v>244</v>
      </c>
      <c r="T10" s="1">
        <f>167+17+34+43+38+60+68+82+58</f>
        <v>567</v>
      </c>
      <c r="U10" s="1">
        <v>29</v>
      </c>
      <c r="V10" s="1">
        <f>160+12+15+92</f>
        <v>279</v>
      </c>
      <c r="W10" s="1">
        <f t="shared" si="0"/>
        <v>875</v>
      </c>
      <c r="X10" s="1">
        <f t="shared" si="3"/>
        <v>4.3310000000000004</v>
      </c>
    </row>
    <row r="11" spans="1:36">
      <c r="A11" s="1">
        <v>2025</v>
      </c>
      <c r="B11" s="1">
        <v>4</v>
      </c>
      <c r="C11" s="1" t="s">
        <v>5</v>
      </c>
      <c r="D11" s="1">
        <v>2</v>
      </c>
      <c r="E11" s="1">
        <v>15</v>
      </c>
      <c r="F11" s="1" t="s">
        <v>6</v>
      </c>
      <c r="G11" s="1">
        <v>26.35</v>
      </c>
      <c r="H11" s="1">
        <v>27.43</v>
      </c>
      <c r="I11" s="1">
        <v>34.479999999999997</v>
      </c>
      <c r="J11" s="1">
        <v>33.67</v>
      </c>
      <c r="K11" s="1">
        <v>37.04</v>
      </c>
      <c r="L11" s="1">
        <v>32.130000000000003</v>
      </c>
      <c r="M11" s="1">
        <v>0</v>
      </c>
      <c r="N11" s="1">
        <v>1</v>
      </c>
      <c r="O11" s="1">
        <f t="shared" si="9"/>
        <v>5.6789949934393604</v>
      </c>
      <c r="P11" s="1">
        <f t="shared" si="1"/>
        <v>9.2563014153408272</v>
      </c>
      <c r="Q11" s="1">
        <f t="shared" si="2"/>
        <v>3.5773064219014667</v>
      </c>
      <c r="R11" s="1">
        <v>134</v>
      </c>
      <c r="S11" s="1">
        <v>272</v>
      </c>
      <c r="T11" s="1">
        <f>191+50+15+72+10+50+38+57+57+40+38+83+43+49+72+44+22+92</f>
        <v>1023</v>
      </c>
      <c r="U11" s="1">
        <f>100+80+10+70+63+13+38+11+48+50+80</f>
        <v>563</v>
      </c>
      <c r="V11" s="1">
        <f>50+89+24+32+11+33+44</f>
        <v>283</v>
      </c>
      <c r="W11" s="1">
        <f t="shared" si="0"/>
        <v>1869</v>
      </c>
      <c r="X11" s="1">
        <f t="shared" si="3"/>
        <v>9.1120000000000001</v>
      </c>
      <c r="Y11" s="1">
        <v>99</v>
      </c>
      <c r="Z11" s="1">
        <f t="shared" si="7"/>
        <v>10.695416620284584</v>
      </c>
      <c r="AA11" s="1">
        <v>17.739999999999998</v>
      </c>
      <c r="AB11" s="1">
        <v>10</v>
      </c>
      <c r="AC11" s="1">
        <v>1600</v>
      </c>
      <c r="AD11" s="1">
        <f t="shared" ref="AD11:AD24" si="10">(AA11*AC11)/1000</f>
        <v>28.383999999999997</v>
      </c>
      <c r="AE11" s="1">
        <f t="shared" si="8"/>
        <v>1.9165322307459445</v>
      </c>
      <c r="AF11" s="1">
        <f t="shared" ref="AF11:AF24" si="11">AA11/Y11*1000</f>
        <v>179.19191919191917</v>
      </c>
      <c r="AG11" s="1">
        <f t="shared" ref="AG11:AG24" si="12">(AB11*AC11)/60</f>
        <v>266.66666666666669</v>
      </c>
    </row>
    <row r="12" spans="1:36">
      <c r="A12" s="1">
        <v>2025</v>
      </c>
      <c r="B12" s="1">
        <v>4</v>
      </c>
      <c r="C12" s="1" t="s">
        <v>5</v>
      </c>
      <c r="D12" s="1">
        <v>2</v>
      </c>
      <c r="E12" s="1">
        <v>16</v>
      </c>
      <c r="F12" s="1" t="s">
        <v>6</v>
      </c>
      <c r="I12" s="54">
        <v>38.159999999999997</v>
      </c>
      <c r="J12" s="54">
        <v>38.01</v>
      </c>
      <c r="K12" s="54">
        <v>31.02</v>
      </c>
      <c r="L12" s="54">
        <v>31.87</v>
      </c>
      <c r="P12" s="1">
        <f t="shared" si="1"/>
        <v>9.4923632398755924</v>
      </c>
      <c r="Y12" s="1">
        <v>75</v>
      </c>
      <c r="Z12" s="1">
        <f t="shared" si="7"/>
        <v>7.9010882858906433</v>
      </c>
      <c r="AA12" s="1">
        <v>14.040000000000001</v>
      </c>
      <c r="AB12" s="1">
        <v>10</v>
      </c>
      <c r="AC12" s="1">
        <v>1600</v>
      </c>
      <c r="AD12" s="1">
        <f t="shared" si="10"/>
        <v>22.463999999999999</v>
      </c>
      <c r="AE12" s="1">
        <f t="shared" si="8"/>
        <v>1.4790837271187285</v>
      </c>
      <c r="AF12" s="1">
        <f t="shared" si="11"/>
        <v>187.20000000000002</v>
      </c>
      <c r="AG12" s="1">
        <f t="shared" si="12"/>
        <v>266.66666666666669</v>
      </c>
    </row>
    <row r="13" spans="1:36">
      <c r="A13" s="1">
        <v>2025</v>
      </c>
      <c r="B13" s="1">
        <v>5</v>
      </c>
      <c r="C13" s="1" t="s">
        <v>5</v>
      </c>
      <c r="D13" s="1">
        <v>2</v>
      </c>
      <c r="E13" s="1">
        <v>19</v>
      </c>
      <c r="F13" s="1" t="s">
        <v>9</v>
      </c>
      <c r="G13" s="1">
        <v>22.71</v>
      </c>
      <c r="H13" s="1">
        <v>25.15</v>
      </c>
      <c r="I13" s="1">
        <v>27.45</v>
      </c>
      <c r="J13" s="1">
        <v>27.53</v>
      </c>
      <c r="K13" s="1">
        <v>29.62</v>
      </c>
      <c r="L13" s="1">
        <v>37.79</v>
      </c>
      <c r="M13" s="1">
        <v>0</v>
      </c>
      <c r="N13" s="1">
        <v>0</v>
      </c>
      <c r="O13" s="1">
        <f t="shared" si="9"/>
        <v>4.4975425273891529</v>
      </c>
      <c r="P13" s="1">
        <f t="shared" si="1"/>
        <v>7.3529526326857342</v>
      </c>
      <c r="Q13" s="1">
        <f t="shared" si="2"/>
        <v>2.8554101052965812</v>
      </c>
      <c r="R13" s="1">
        <v>94</v>
      </c>
      <c r="S13" s="1">
        <v>232</v>
      </c>
      <c r="T13" s="1">
        <f>76+19+30+32+37</f>
        <v>194</v>
      </c>
      <c r="U13" s="1">
        <f>40+100+39+10+28+30+31+37+49+10+31+28+25</f>
        <v>458</v>
      </c>
      <c r="V13" s="1">
        <f>168+35+32+12+35+31+37+29</f>
        <v>379</v>
      </c>
      <c r="W13" s="1">
        <f t="shared" si="0"/>
        <v>1031</v>
      </c>
      <c r="X13" s="1">
        <f t="shared" si="3"/>
        <v>5.452</v>
      </c>
      <c r="Y13" s="1">
        <v>94</v>
      </c>
      <c r="Z13" s="1">
        <f t="shared" si="7"/>
        <v>12.783980081980431</v>
      </c>
      <c r="AA13" s="1">
        <v>13.08</v>
      </c>
      <c r="AB13" s="1">
        <v>5</v>
      </c>
      <c r="AC13" s="1">
        <v>1600</v>
      </c>
      <c r="AD13" s="1">
        <f t="shared" si="10"/>
        <v>20.928000000000001</v>
      </c>
      <c r="AE13" s="1">
        <f t="shared" si="8"/>
        <v>1.7788772284287664</v>
      </c>
      <c r="AF13" s="1">
        <f t="shared" si="11"/>
        <v>139.14893617021275</v>
      </c>
      <c r="AG13" s="1">
        <f t="shared" si="12"/>
        <v>133.33333333333334</v>
      </c>
    </row>
    <row r="14" spans="1:36">
      <c r="A14" s="1">
        <v>2025</v>
      </c>
      <c r="B14" s="1">
        <v>5</v>
      </c>
      <c r="C14" s="1" t="s">
        <v>5</v>
      </c>
      <c r="D14" s="1">
        <v>2</v>
      </c>
      <c r="E14" s="1">
        <v>20</v>
      </c>
      <c r="F14" s="1" t="s">
        <v>9</v>
      </c>
      <c r="G14" s="1">
        <v>25.43</v>
      </c>
      <c r="H14" s="1">
        <v>31.81</v>
      </c>
      <c r="I14" s="1">
        <v>30.98</v>
      </c>
      <c r="J14" s="1">
        <v>31.57</v>
      </c>
      <c r="K14" s="1">
        <v>41.92</v>
      </c>
      <c r="L14" s="1">
        <v>37.340000000000003</v>
      </c>
      <c r="M14" s="1">
        <v>1</v>
      </c>
      <c r="N14" s="1">
        <v>0</v>
      </c>
      <c r="O14" s="1">
        <f t="shared" si="9"/>
        <v>6.4332309139076864</v>
      </c>
      <c r="P14" s="1">
        <f t="shared" si="1"/>
        <v>9.8715105217018255</v>
      </c>
      <c r="Q14" s="1">
        <f t="shared" si="2"/>
        <v>3.4382796077941391</v>
      </c>
      <c r="R14" s="1">
        <v>122</v>
      </c>
      <c r="S14" s="1">
        <v>315</v>
      </c>
      <c r="T14" s="1">
        <f>121+32+11+7+33+32+10+26+29+34+34+37</f>
        <v>406</v>
      </c>
      <c r="U14" s="1">
        <f>110+74+16+10+17+33+39+46+33+77</f>
        <v>455</v>
      </c>
      <c r="V14" s="1">
        <f>68+75+49+56+63</f>
        <v>311</v>
      </c>
      <c r="W14" s="1">
        <f t="shared" si="0"/>
        <v>1172</v>
      </c>
      <c r="X14" s="1">
        <f t="shared" si="3"/>
        <v>9.6074999999999999</v>
      </c>
      <c r="Y14" s="1">
        <v>97</v>
      </c>
      <c r="Z14" s="1">
        <f t="shared" si="7"/>
        <v>9.8262570643826272</v>
      </c>
      <c r="AA14" s="1">
        <v>15.480000000000002</v>
      </c>
      <c r="AB14" s="1">
        <v>5</v>
      </c>
      <c r="AC14" s="1">
        <v>1600</v>
      </c>
      <c r="AD14" s="1">
        <f t="shared" si="10"/>
        <v>24.768000000000004</v>
      </c>
      <c r="AE14" s="1">
        <f t="shared" si="8"/>
        <v>1.5681490655324031</v>
      </c>
      <c r="AF14" s="1">
        <f t="shared" si="11"/>
        <v>159.58762886597941</v>
      </c>
      <c r="AG14" s="1">
        <f t="shared" si="12"/>
        <v>133.33333333333334</v>
      </c>
    </row>
    <row r="15" spans="1:36">
      <c r="A15" s="1">
        <v>2025</v>
      </c>
      <c r="B15" s="1">
        <v>6</v>
      </c>
      <c r="C15" s="1" t="s">
        <v>5</v>
      </c>
      <c r="D15" s="1">
        <v>2</v>
      </c>
      <c r="E15" s="1">
        <v>22</v>
      </c>
      <c r="F15" s="1" t="s">
        <v>10</v>
      </c>
      <c r="G15" s="1">
        <v>35.53</v>
      </c>
      <c r="H15" s="1">
        <v>25.2</v>
      </c>
      <c r="I15" s="1">
        <v>28.08</v>
      </c>
      <c r="J15" s="1">
        <v>28.52</v>
      </c>
      <c r="K15" s="1">
        <v>38.24</v>
      </c>
      <c r="L15" s="1">
        <v>31.35</v>
      </c>
      <c r="M15" s="1">
        <v>0</v>
      </c>
      <c r="N15" s="1">
        <v>0</v>
      </c>
      <c r="O15" s="1">
        <f t="shared" si="9"/>
        <v>7.2416320150642637</v>
      </c>
      <c r="P15" s="1">
        <f t="shared" si="1"/>
        <v>7.8166340368969109</v>
      </c>
      <c r="Q15" s="1">
        <f t="shared" si="2"/>
        <v>0.57500202183264726</v>
      </c>
      <c r="R15" s="1">
        <v>110</v>
      </c>
      <c r="S15" s="1">
        <v>235</v>
      </c>
      <c r="T15" s="1">
        <f>60+64+29+10+26+40+21+13+30+34</f>
        <v>327</v>
      </c>
      <c r="U15" s="1">
        <f>157+46+44+40+55+14+10+11+20+31+34+35</f>
        <v>497</v>
      </c>
      <c r="V15" s="1">
        <f>130+42+28+17+20+70+10+17+19+20+35</f>
        <v>408</v>
      </c>
      <c r="W15" s="1">
        <f t="shared" si="0"/>
        <v>1232</v>
      </c>
      <c r="X15" s="1">
        <f t="shared" si="3"/>
        <v>6.4625000000000004</v>
      </c>
      <c r="Y15" s="1">
        <v>140</v>
      </c>
      <c r="Z15" s="1">
        <f t="shared" si="7"/>
        <v>17.910522526596107</v>
      </c>
      <c r="AA15" s="1">
        <v>23.76</v>
      </c>
      <c r="AB15" s="1">
        <v>10</v>
      </c>
      <c r="AC15" s="1">
        <v>1600</v>
      </c>
      <c r="AD15" s="1">
        <f t="shared" si="10"/>
        <v>38.015999999999998</v>
      </c>
      <c r="AE15" s="1">
        <f t="shared" si="8"/>
        <v>3.0396715373708827</v>
      </c>
      <c r="AF15" s="1">
        <f t="shared" si="11"/>
        <v>169.71428571428572</v>
      </c>
      <c r="AG15" s="1">
        <f t="shared" si="12"/>
        <v>266.66666666666669</v>
      </c>
    </row>
    <row r="16" spans="1:36">
      <c r="A16" s="1">
        <v>2025</v>
      </c>
      <c r="B16" s="1">
        <v>6</v>
      </c>
      <c r="C16" s="1" t="s">
        <v>5</v>
      </c>
      <c r="D16" s="1">
        <v>2</v>
      </c>
      <c r="E16" s="1">
        <v>23</v>
      </c>
      <c r="F16" s="1" t="s">
        <v>10</v>
      </c>
      <c r="G16" s="1">
        <v>35.44</v>
      </c>
      <c r="H16" s="1">
        <v>27.08</v>
      </c>
      <c r="I16" s="1">
        <v>42.33</v>
      </c>
      <c r="J16" s="1">
        <v>37.65</v>
      </c>
      <c r="K16" s="1">
        <v>35.21</v>
      </c>
      <c r="L16" s="1">
        <v>33.56</v>
      </c>
      <c r="M16" s="1">
        <v>2</v>
      </c>
      <c r="N16" s="1">
        <v>0</v>
      </c>
      <c r="O16" s="1">
        <f t="shared" si="9"/>
        <v>7.6748134633476024</v>
      </c>
      <c r="P16" s="1">
        <f t="shared" si="1"/>
        <v>10.861350968624283</v>
      </c>
      <c r="Q16" s="1">
        <f t="shared" si="2"/>
        <v>3.1865375052766804</v>
      </c>
      <c r="R16" s="1">
        <v>117</v>
      </c>
      <c r="S16" s="1">
        <v>237</v>
      </c>
      <c r="T16" s="1">
        <f>182+12+36+30+37+40+29+40+53+61+74</f>
        <v>594</v>
      </c>
      <c r="U16" s="1">
        <f>70+50+44+30+51+34+20+26+37+37+31+39</f>
        <v>469</v>
      </c>
      <c r="V16" s="1">
        <f>109+70+13+23+34+16+26+14+13+10+29+33+47+58</f>
        <v>495</v>
      </c>
      <c r="W16" s="1">
        <f t="shared" si="0"/>
        <v>1558</v>
      </c>
      <c r="X16" s="1">
        <f t="shared" si="3"/>
        <v>6.9322499999999998</v>
      </c>
      <c r="Y16" s="1">
        <v>127</v>
      </c>
      <c r="Z16" s="1">
        <f t="shared" si="7"/>
        <v>11.69283640376516</v>
      </c>
      <c r="AA16" s="1">
        <v>22.38</v>
      </c>
      <c r="AB16" s="1">
        <v>10</v>
      </c>
      <c r="AC16" s="1">
        <v>1600</v>
      </c>
      <c r="AD16" s="1">
        <f t="shared" si="10"/>
        <v>35.808</v>
      </c>
      <c r="AE16" s="1">
        <f t="shared" si="8"/>
        <v>2.0605171552461754</v>
      </c>
      <c r="AF16" s="1">
        <f t="shared" si="11"/>
        <v>176.22047244094489</v>
      </c>
      <c r="AG16" s="1">
        <f t="shared" si="12"/>
        <v>266.66666666666669</v>
      </c>
    </row>
    <row r="17" spans="1:33">
      <c r="A17" s="1">
        <v>2025</v>
      </c>
      <c r="B17" s="1">
        <v>7</v>
      </c>
      <c r="C17" s="1" t="s">
        <v>5</v>
      </c>
      <c r="D17" s="1">
        <v>2</v>
      </c>
      <c r="E17" s="1">
        <v>26</v>
      </c>
      <c r="F17" s="1" t="s">
        <v>8</v>
      </c>
      <c r="G17" s="1">
        <v>20.45</v>
      </c>
      <c r="H17" s="1">
        <v>19.87</v>
      </c>
      <c r="I17" s="1">
        <v>28.03</v>
      </c>
      <c r="J17" s="1">
        <v>28.84</v>
      </c>
      <c r="K17" s="1">
        <v>26.22</v>
      </c>
      <c r="L17" s="1">
        <v>23.22</v>
      </c>
      <c r="M17" s="1">
        <v>0</v>
      </c>
      <c r="N17" s="1">
        <v>2</v>
      </c>
      <c r="O17" s="1">
        <f t="shared" si="9"/>
        <v>3.1920591979770596</v>
      </c>
      <c r="P17" s="1">
        <f t="shared" si="1"/>
        <v>5.5477660049973201</v>
      </c>
      <c r="Q17" s="1">
        <f t="shared" si="2"/>
        <v>2.3557068070202605</v>
      </c>
      <c r="R17" s="1">
        <v>123</v>
      </c>
      <c r="S17" s="1">
        <v>189</v>
      </c>
      <c r="T17" s="1">
        <v>52</v>
      </c>
      <c r="U17" s="1">
        <f>118+20+25+30+30</f>
        <v>223</v>
      </c>
      <c r="V17" s="1">
        <f>117+14+26+29+14</f>
        <v>200</v>
      </c>
      <c r="W17" s="1">
        <f t="shared" si="0"/>
        <v>475</v>
      </c>
      <c r="X17" s="1">
        <f t="shared" si="3"/>
        <v>5.81175</v>
      </c>
      <c r="Y17" s="1">
        <v>22</v>
      </c>
      <c r="Z17" s="1">
        <f t="shared" si="7"/>
        <v>3.9655601876832631</v>
      </c>
      <c r="AA17" s="1">
        <v>3.2199999999999998</v>
      </c>
      <c r="AB17" s="1">
        <v>3</v>
      </c>
      <c r="AC17" s="1">
        <v>1600</v>
      </c>
      <c r="AD17" s="1">
        <f t="shared" si="10"/>
        <v>5.1520000000000001</v>
      </c>
      <c r="AE17" s="1">
        <f t="shared" si="8"/>
        <v>0.58041380928818664</v>
      </c>
      <c r="AF17" s="1">
        <f t="shared" si="11"/>
        <v>146.36363636363637</v>
      </c>
      <c r="AG17" s="1">
        <f t="shared" si="12"/>
        <v>80</v>
      </c>
    </row>
    <row r="18" spans="1:33">
      <c r="A18" s="1">
        <v>2025</v>
      </c>
      <c r="B18" s="1">
        <v>7</v>
      </c>
      <c r="C18" s="1" t="s">
        <v>5</v>
      </c>
      <c r="D18" s="1">
        <v>2</v>
      </c>
      <c r="E18" s="1">
        <v>27</v>
      </c>
      <c r="F18" s="1" t="s">
        <v>8</v>
      </c>
      <c r="G18" s="1">
        <v>20.81</v>
      </c>
      <c r="H18" s="1">
        <v>22.65</v>
      </c>
      <c r="I18" s="1">
        <v>31.15</v>
      </c>
      <c r="J18" s="1">
        <v>29.42</v>
      </c>
      <c r="K18" s="1">
        <v>29.07</v>
      </c>
      <c r="L18" s="1">
        <v>30.18</v>
      </c>
      <c r="M18" s="1">
        <v>0</v>
      </c>
      <c r="N18" s="1">
        <v>2</v>
      </c>
      <c r="O18" s="1">
        <f t="shared" si="9"/>
        <v>3.7085943642931483</v>
      </c>
      <c r="P18" s="1">
        <f t="shared" si="1"/>
        <v>7.0473936244781115</v>
      </c>
      <c r="Q18" s="1">
        <f t="shared" si="2"/>
        <v>3.3387992601849632</v>
      </c>
      <c r="R18" s="1">
        <v>142</v>
      </c>
      <c r="S18" s="1">
        <f>180+93</f>
        <v>273</v>
      </c>
      <c r="T18" s="1">
        <f>83+73+75+20</f>
        <v>251</v>
      </c>
      <c r="U18" s="1">
        <f>27+74+22+10</f>
        <v>133</v>
      </c>
      <c r="V18" s="1">
        <f>70+10</f>
        <v>80</v>
      </c>
      <c r="W18" s="1">
        <f t="shared" si="0"/>
        <v>464</v>
      </c>
      <c r="X18" s="1">
        <f t="shared" si="3"/>
        <v>9.6914999999999996</v>
      </c>
      <c r="Y18" s="1">
        <v>31</v>
      </c>
      <c r="Z18" s="1">
        <f t="shared" si="7"/>
        <v>4.3987893470752004</v>
      </c>
      <c r="AA18" s="1">
        <v>4.26</v>
      </c>
      <c r="AB18" s="1">
        <v>3</v>
      </c>
      <c r="AC18" s="1">
        <v>1600</v>
      </c>
      <c r="AD18" s="1">
        <f t="shared" si="10"/>
        <v>6.8159999999999998</v>
      </c>
      <c r="AE18" s="1">
        <f t="shared" si="8"/>
        <v>0.60447879414646299</v>
      </c>
      <c r="AF18" s="1">
        <f t="shared" si="11"/>
        <v>137.41935483870967</v>
      </c>
      <c r="AG18" s="1">
        <f t="shared" si="12"/>
        <v>80</v>
      </c>
    </row>
    <row r="19" spans="1:33">
      <c r="A19" s="1">
        <v>2025</v>
      </c>
      <c r="B19" s="1">
        <v>8</v>
      </c>
      <c r="C19" s="1" t="s">
        <v>5</v>
      </c>
      <c r="D19" s="1">
        <v>3</v>
      </c>
      <c r="E19" s="1">
        <v>30</v>
      </c>
      <c r="F19" s="1" t="s">
        <v>9</v>
      </c>
      <c r="G19" s="1">
        <v>31.04</v>
      </c>
      <c r="H19" s="1">
        <v>34.090000000000003</v>
      </c>
      <c r="I19" s="1">
        <v>41.02</v>
      </c>
      <c r="J19" s="1">
        <v>35.369999999999997</v>
      </c>
      <c r="K19" s="1">
        <v>37.590000000000003</v>
      </c>
      <c r="L19" s="1">
        <v>41.69</v>
      </c>
      <c r="M19" s="1">
        <v>1</v>
      </c>
      <c r="N19" s="1">
        <v>0</v>
      </c>
      <c r="O19" s="1">
        <f t="shared" si="9"/>
        <v>8.3289843563614934</v>
      </c>
      <c r="P19" s="1">
        <f t="shared" si="1"/>
        <v>11.895419149623061</v>
      </c>
      <c r="Q19" s="1">
        <f t="shared" si="2"/>
        <v>3.5664347932615676</v>
      </c>
      <c r="R19" s="1">
        <v>127</v>
      </c>
      <c r="S19" s="1">
        <v>296</v>
      </c>
      <c r="T19" s="1">
        <f>227+40+20+36+15+58+53+12+43+52+40+11+54+52+48+112</f>
        <v>873</v>
      </c>
      <c r="U19" s="1">
        <f>139+18+53+55+51+70</f>
        <v>386</v>
      </c>
      <c r="V19" s="1">
        <f>73+70+19+19+57+49+48</f>
        <v>335</v>
      </c>
      <c r="W19" s="1">
        <f t="shared" si="0"/>
        <v>1594</v>
      </c>
      <c r="X19" s="1">
        <f t="shared" si="3"/>
        <v>9.3979999999999997</v>
      </c>
      <c r="Y19" s="1">
        <f>26+67+65</f>
        <v>158</v>
      </c>
      <c r="Z19" s="1">
        <f t="shared" si="7"/>
        <v>13.282423932493936</v>
      </c>
      <c r="AA19" s="1">
        <v>24.94</v>
      </c>
      <c r="AB19" s="1">
        <v>10</v>
      </c>
      <c r="AC19" s="1">
        <v>1600</v>
      </c>
      <c r="AD19" s="1">
        <f t="shared" si="10"/>
        <v>39.904000000000003</v>
      </c>
      <c r="AE19" s="1">
        <f t="shared" si="8"/>
        <v>2.0966053979518908</v>
      </c>
      <c r="AF19" s="1">
        <f t="shared" si="11"/>
        <v>157.84810126582281</v>
      </c>
      <c r="AG19" s="1">
        <f t="shared" si="12"/>
        <v>266.66666666666669</v>
      </c>
    </row>
    <row r="20" spans="1:33">
      <c r="A20" s="1">
        <v>2025</v>
      </c>
      <c r="B20" s="1">
        <v>8</v>
      </c>
      <c r="C20" s="1" t="s">
        <v>5</v>
      </c>
      <c r="D20" s="1">
        <v>3</v>
      </c>
      <c r="E20" s="1">
        <v>31</v>
      </c>
      <c r="F20" s="1" t="s">
        <v>9</v>
      </c>
      <c r="G20" s="1">
        <v>33.58</v>
      </c>
      <c r="H20" s="1">
        <v>26.75</v>
      </c>
      <c r="I20" s="1">
        <v>27.63</v>
      </c>
      <c r="J20" s="1">
        <v>32.630000000000003</v>
      </c>
      <c r="K20" s="1">
        <v>34.35</v>
      </c>
      <c r="L20" s="1">
        <v>34.83</v>
      </c>
      <c r="M20" s="1">
        <v>6</v>
      </c>
      <c r="N20" s="1">
        <v>2</v>
      </c>
      <c r="O20" s="1">
        <f t="shared" si="9"/>
        <v>7.1465517134033654</v>
      </c>
      <c r="P20" s="1">
        <f t="shared" si="1"/>
        <v>8.2244508060564048</v>
      </c>
      <c r="Q20" s="1">
        <f t="shared" si="2"/>
        <v>1.0778990926530394</v>
      </c>
      <c r="R20" s="1">
        <v>103</v>
      </c>
      <c r="S20" s="1">
        <v>275</v>
      </c>
      <c r="T20" s="1">
        <f>85+124+26+32+42+33+34+82+56+33+40+38+33+54+37+54+38+19+41+82</f>
        <v>983</v>
      </c>
      <c r="U20" s="1">
        <f>80+69+44+35+37+65+16+41+10+51+41+42+37+37+60+25+38</f>
        <v>728</v>
      </c>
      <c r="V20" s="1">
        <f>75+32+10</f>
        <v>117</v>
      </c>
      <c r="W20" s="1">
        <f t="shared" si="0"/>
        <v>1828</v>
      </c>
      <c r="X20" s="1">
        <f t="shared" si="3"/>
        <v>7.0812499999999998</v>
      </c>
      <c r="Y20" s="1">
        <v>119</v>
      </c>
      <c r="Z20" s="1">
        <f t="shared" si="7"/>
        <v>14.469051223744881</v>
      </c>
      <c r="AA20" s="1">
        <v>19.18</v>
      </c>
      <c r="AB20" s="1">
        <v>10</v>
      </c>
      <c r="AC20" s="1">
        <v>1600</v>
      </c>
      <c r="AD20" s="1">
        <f t="shared" si="10"/>
        <v>30.687999999999999</v>
      </c>
      <c r="AE20" s="1">
        <f t="shared" si="8"/>
        <v>2.3320706090035865</v>
      </c>
      <c r="AF20" s="1">
        <f t="shared" si="11"/>
        <v>161.17647058823528</v>
      </c>
      <c r="AG20" s="1">
        <f t="shared" si="12"/>
        <v>266.66666666666669</v>
      </c>
    </row>
    <row r="21" spans="1:33">
      <c r="A21" s="1">
        <v>2025</v>
      </c>
      <c r="B21" s="1">
        <v>9</v>
      </c>
      <c r="C21" s="1" t="s">
        <v>5</v>
      </c>
      <c r="D21" s="1">
        <v>2</v>
      </c>
      <c r="E21" s="1">
        <v>34</v>
      </c>
      <c r="F21" s="1" t="s">
        <v>10</v>
      </c>
      <c r="G21" s="1">
        <v>22.27</v>
      </c>
      <c r="H21" s="1">
        <v>28.84</v>
      </c>
      <c r="I21" s="1">
        <v>26.58</v>
      </c>
      <c r="J21" s="1">
        <v>22.23</v>
      </c>
      <c r="K21" s="1">
        <v>30.76</v>
      </c>
      <c r="L21" s="1">
        <v>36.770000000000003</v>
      </c>
      <c r="M21" s="1">
        <v>6</v>
      </c>
      <c r="N21" s="1">
        <v>2</v>
      </c>
      <c r="O21" s="1">
        <f t="shared" si="9"/>
        <v>5.1291057342696478</v>
      </c>
      <c r="P21" s="1">
        <f t="shared" si="1"/>
        <v>6.6439754286453407</v>
      </c>
      <c r="Q21" s="1">
        <f t="shared" si="2"/>
        <v>1.514869694375693</v>
      </c>
      <c r="R21" s="1">
        <v>70</v>
      </c>
      <c r="S21" s="1">
        <v>243</v>
      </c>
      <c r="T21" s="1">
        <v>28</v>
      </c>
      <c r="U21" s="1">
        <f>25+21+8+9+12+47+40+41+51+53+65+27</f>
        <v>399</v>
      </c>
      <c r="V21" s="1">
        <f>137+31+14+23+42+48+48+34+10+40</f>
        <v>427</v>
      </c>
      <c r="W21" s="1">
        <f t="shared" si="0"/>
        <v>854</v>
      </c>
      <c r="X21" s="1">
        <f t="shared" si="3"/>
        <v>4.2525000000000004</v>
      </c>
      <c r="Y21" s="1">
        <v>35</v>
      </c>
      <c r="Z21" s="1">
        <f t="shared" si="7"/>
        <v>5.2679303793175301</v>
      </c>
      <c r="AA21" s="1">
        <v>6.5099999999999989</v>
      </c>
      <c r="AB21" s="1">
        <v>3</v>
      </c>
      <c r="AC21" s="1">
        <v>1600</v>
      </c>
      <c r="AD21" s="1">
        <f t="shared" si="10"/>
        <v>10.415999999999999</v>
      </c>
      <c r="AE21" s="1">
        <f t="shared" si="8"/>
        <v>0.97983505055306042</v>
      </c>
      <c r="AF21" s="1">
        <f t="shared" si="11"/>
        <v>185.99999999999997</v>
      </c>
      <c r="AG21" s="1">
        <f t="shared" si="12"/>
        <v>80</v>
      </c>
    </row>
    <row r="22" spans="1:33">
      <c r="A22" s="1">
        <v>2025</v>
      </c>
      <c r="B22" s="1">
        <v>9</v>
      </c>
      <c r="C22" s="1" t="s">
        <v>5</v>
      </c>
      <c r="D22" s="1">
        <v>2</v>
      </c>
      <c r="E22" s="1">
        <v>35</v>
      </c>
      <c r="F22" s="1" t="s">
        <v>10</v>
      </c>
      <c r="G22" s="1">
        <v>21.56</v>
      </c>
      <c r="H22" s="1">
        <v>22.87</v>
      </c>
      <c r="I22" s="1">
        <v>26.41</v>
      </c>
      <c r="J22" s="1">
        <v>25.09</v>
      </c>
      <c r="K22" s="1">
        <v>28.76</v>
      </c>
      <c r="L22" s="1">
        <v>30.69</v>
      </c>
      <c r="M22" s="1">
        <v>4</v>
      </c>
      <c r="N22" s="1">
        <v>0</v>
      </c>
      <c r="O22" s="1">
        <f t="shared" si="9"/>
        <v>3.875988827402078</v>
      </c>
      <c r="P22" s="1">
        <f t="shared" si="1"/>
        <v>6.0426092594385361</v>
      </c>
      <c r="Q22" s="1">
        <f t="shared" si="2"/>
        <v>2.1666204320364582</v>
      </c>
      <c r="R22" s="1">
        <v>117</v>
      </c>
      <c r="S22" s="1">
        <v>247</v>
      </c>
      <c r="T22" s="1">
        <f>165+42+8+27+20+35+54+74</f>
        <v>425</v>
      </c>
      <c r="U22" s="1">
        <f>134+16+15+29+12+33+44+50+10</f>
        <v>343</v>
      </c>
      <c r="V22" s="1">
        <f>77+90+47+18+25+25+26+31+49+30+39</f>
        <v>457</v>
      </c>
      <c r="W22" s="1">
        <f t="shared" si="0"/>
        <v>1225</v>
      </c>
      <c r="X22" s="1">
        <f t="shared" si="3"/>
        <v>7.2247500000000002</v>
      </c>
      <c r="Y22" s="1">
        <v>85</v>
      </c>
      <c r="Z22" s="1">
        <f t="shared" si="7"/>
        <v>14.066770884983217</v>
      </c>
      <c r="AA22" s="1">
        <v>14.22</v>
      </c>
      <c r="AB22" s="1">
        <v>5</v>
      </c>
      <c r="AC22" s="1">
        <v>1600</v>
      </c>
      <c r="AD22" s="1">
        <f t="shared" si="10"/>
        <v>22.751999999999999</v>
      </c>
      <c r="AE22" s="1">
        <f t="shared" si="8"/>
        <v>2.3532880233466043</v>
      </c>
      <c r="AF22" s="1">
        <f t="shared" si="11"/>
        <v>167.29411764705884</v>
      </c>
      <c r="AG22" s="1">
        <f t="shared" si="12"/>
        <v>133.33333333333334</v>
      </c>
    </row>
    <row r="23" spans="1:33">
      <c r="A23" s="1">
        <v>2025</v>
      </c>
      <c r="B23" s="1">
        <v>10</v>
      </c>
      <c r="C23" s="1" t="s">
        <v>5</v>
      </c>
      <c r="D23" s="1">
        <v>2</v>
      </c>
      <c r="E23" s="1">
        <v>38</v>
      </c>
      <c r="F23" s="1" t="s">
        <v>7</v>
      </c>
      <c r="G23" s="1">
        <v>23.36</v>
      </c>
      <c r="H23" s="1">
        <v>25.95</v>
      </c>
      <c r="I23" s="1">
        <v>29.5</v>
      </c>
      <c r="J23" s="1">
        <v>29.83</v>
      </c>
      <c r="K23" s="1">
        <v>32.020000000000003</v>
      </c>
      <c r="L23" s="1">
        <v>32.36</v>
      </c>
      <c r="M23" s="1">
        <v>6</v>
      </c>
      <c r="N23" s="1">
        <v>0</v>
      </c>
      <c r="O23" s="1">
        <f t="shared" si="9"/>
        <v>4.7741921582119762</v>
      </c>
      <c r="P23" s="1">
        <f t="shared" si="1"/>
        <v>7.5124139852957246</v>
      </c>
      <c r="Q23" s="1">
        <f t="shared" si="2"/>
        <v>2.7382218270837484</v>
      </c>
      <c r="R23" s="1">
        <v>144</v>
      </c>
      <c r="S23" s="1">
        <v>267</v>
      </c>
      <c r="T23" s="1">
        <f>170+66+44+36+38+66+47+44+26+43+34+46+40+32+25+12+7+24+40+66+82+41+67</f>
        <v>1096</v>
      </c>
      <c r="U23" s="1">
        <f>70+89+27+31+34+46+20+16+45+52+50</f>
        <v>480</v>
      </c>
      <c r="V23" s="1">
        <f>60+70+35+33+29+41+43+54+49+43+35</f>
        <v>492</v>
      </c>
      <c r="W23" s="1">
        <f t="shared" si="0"/>
        <v>2068</v>
      </c>
      <c r="X23" s="1">
        <f t="shared" si="3"/>
        <v>9.6120000000000001</v>
      </c>
      <c r="Y23" s="1">
        <v>125</v>
      </c>
      <c r="Z23" s="1">
        <f t="shared" si="7"/>
        <v>16.639125618564989</v>
      </c>
      <c r="AA23" s="1">
        <v>21.38</v>
      </c>
      <c r="AB23" s="1">
        <v>7</v>
      </c>
      <c r="AC23" s="1">
        <v>1600</v>
      </c>
      <c r="AD23" s="1">
        <f t="shared" si="10"/>
        <v>34.207999999999998</v>
      </c>
      <c r="AE23" s="1">
        <f t="shared" si="8"/>
        <v>2.8459560457993556</v>
      </c>
      <c r="AF23" s="1">
        <f t="shared" si="11"/>
        <v>171.04</v>
      </c>
      <c r="AG23" s="1">
        <f t="shared" si="12"/>
        <v>186.66666666666666</v>
      </c>
    </row>
    <row r="24" spans="1:33">
      <c r="A24" s="1">
        <v>2025</v>
      </c>
      <c r="B24" s="1">
        <v>10</v>
      </c>
      <c r="C24" s="1" t="s">
        <v>5</v>
      </c>
      <c r="D24" s="1">
        <v>2</v>
      </c>
      <c r="E24" s="1">
        <v>39</v>
      </c>
      <c r="F24" s="1" t="s">
        <v>7</v>
      </c>
      <c r="G24" s="1">
        <v>25.79</v>
      </c>
      <c r="H24" s="1">
        <v>27.42</v>
      </c>
      <c r="I24" s="1">
        <v>29.85</v>
      </c>
      <c r="J24" s="1">
        <v>32.26</v>
      </c>
      <c r="K24" s="1">
        <v>32.840000000000003</v>
      </c>
      <c r="L24" s="1">
        <v>33.89</v>
      </c>
      <c r="M24" s="1">
        <v>0</v>
      </c>
      <c r="N24" s="1">
        <v>0</v>
      </c>
      <c r="O24" s="1">
        <f t="shared" si="9"/>
        <v>5.5592526003991631</v>
      </c>
      <c r="P24" s="1">
        <f t="shared" si="1"/>
        <v>8.1483810669405461</v>
      </c>
      <c r="Q24" s="1">
        <f t="shared" si="2"/>
        <v>2.589128466541383</v>
      </c>
      <c r="R24" s="1">
        <v>138</v>
      </c>
      <c r="S24" s="1">
        <v>235</v>
      </c>
      <c r="T24" s="1">
        <f>178+40+52+57+51+41+76+46+105</f>
        <v>646</v>
      </c>
      <c r="U24" s="1">
        <f>50+73+56+12+43+31</f>
        <v>265</v>
      </c>
      <c r="V24" s="1">
        <f>80+64+50+41+41+54+12+21+32+49</f>
        <v>444</v>
      </c>
      <c r="W24" s="1">
        <f t="shared" si="0"/>
        <v>1355</v>
      </c>
      <c r="X24" s="1">
        <f>(250*R24*S24)/1000000</f>
        <v>8.1074999999999999</v>
      </c>
      <c r="Y24" s="1">
        <v>133</v>
      </c>
      <c r="Z24" s="1">
        <f t="shared" si="7"/>
        <v>16.322260692937522</v>
      </c>
      <c r="AA24" s="1">
        <v>22.880000000000003</v>
      </c>
      <c r="AB24" s="1">
        <v>10</v>
      </c>
      <c r="AC24" s="1">
        <v>1600</v>
      </c>
      <c r="AD24" s="1">
        <f t="shared" si="10"/>
        <v>36.608000000000004</v>
      </c>
      <c r="AE24" s="1">
        <f t="shared" si="8"/>
        <v>2.8079197342436886</v>
      </c>
      <c r="AF24" s="1">
        <f t="shared" si="11"/>
        <v>172.03007518796994</v>
      </c>
      <c r="AG24" s="1">
        <f t="shared" si="12"/>
        <v>266.66666666666669</v>
      </c>
    </row>
    <row r="25" spans="1:33">
      <c r="A25" s="1">
        <v>2025</v>
      </c>
      <c r="B25" s="1">
        <v>1</v>
      </c>
      <c r="C25" s="1" t="s">
        <v>11</v>
      </c>
      <c r="D25" s="1">
        <v>5</v>
      </c>
      <c r="E25" s="1">
        <v>4</v>
      </c>
      <c r="F25" s="1" t="s">
        <v>6</v>
      </c>
      <c r="G25" s="1">
        <v>29.49</v>
      </c>
      <c r="H25" s="1">
        <v>15.34</v>
      </c>
      <c r="I25" s="1">
        <v>39.450000000000003</v>
      </c>
      <c r="J25" s="1">
        <v>39.81</v>
      </c>
      <c r="K25" s="1">
        <v>20.81</v>
      </c>
      <c r="L25" s="1">
        <v>18.190000000000001</v>
      </c>
      <c r="M25" s="1">
        <v>2</v>
      </c>
      <c r="N25" s="1">
        <v>2</v>
      </c>
      <c r="O25" s="1">
        <f t="shared" si="9"/>
        <v>3.9460934674669343</v>
      </c>
      <c r="P25" s="1">
        <f t="shared" si="1"/>
        <v>6.8650807196049897</v>
      </c>
      <c r="Q25" s="1">
        <f t="shared" si="2"/>
        <v>2.9189872521380553</v>
      </c>
      <c r="R25" s="1">
        <v>134</v>
      </c>
      <c r="S25" s="1">
        <v>310</v>
      </c>
      <c r="T25" s="1">
        <f>40+18+20</f>
        <v>78</v>
      </c>
      <c r="U25" s="1">
        <v>68</v>
      </c>
      <c r="V25" s="1">
        <f>23+27+45</f>
        <v>95</v>
      </c>
      <c r="W25" s="1">
        <f t="shared" si="0"/>
        <v>241</v>
      </c>
      <c r="X25" s="1">
        <f>(100*R25*S25)/1000000</f>
        <v>4.1539999999999999</v>
      </c>
    </row>
    <row r="26" spans="1:33">
      <c r="A26" s="1">
        <v>2025</v>
      </c>
      <c r="B26" s="1">
        <v>1</v>
      </c>
      <c r="C26" s="1" t="s">
        <v>11</v>
      </c>
      <c r="D26" s="1">
        <v>5</v>
      </c>
      <c r="E26" s="1">
        <v>5</v>
      </c>
      <c r="F26" s="1" t="s">
        <v>6</v>
      </c>
      <c r="G26" s="1">
        <v>25.76</v>
      </c>
      <c r="H26" s="1">
        <v>14.52</v>
      </c>
      <c r="I26" s="1">
        <v>20.07</v>
      </c>
      <c r="J26" s="1">
        <v>17.850000000000001</v>
      </c>
      <c r="K26" s="1">
        <v>30.13</v>
      </c>
      <c r="L26" s="1">
        <v>28.94</v>
      </c>
      <c r="M26" s="1">
        <v>0</v>
      </c>
      <c r="N26" s="1">
        <v>4</v>
      </c>
      <c r="O26" s="1">
        <f t="shared" si="9"/>
        <v>3.1857288887800768</v>
      </c>
      <c r="P26" s="1">
        <f t="shared" si="1"/>
        <v>4.6176798284433849</v>
      </c>
      <c r="Q26" s="1">
        <f t="shared" si="2"/>
        <v>1.4319509396633081</v>
      </c>
      <c r="R26" s="1">
        <v>100</v>
      </c>
      <c r="S26" s="1">
        <v>283</v>
      </c>
      <c r="T26" s="1">
        <v>49</v>
      </c>
      <c r="U26" s="1">
        <f>51+22</f>
        <v>73</v>
      </c>
      <c r="V26" s="1">
        <v>51</v>
      </c>
      <c r="W26" s="1">
        <f t="shared" si="0"/>
        <v>173</v>
      </c>
      <c r="X26" s="1">
        <f t="shared" ref="X26:X67" si="13">(100*R26*S26)/1000000</f>
        <v>2.83</v>
      </c>
      <c r="Y26" s="1">
        <v>33</v>
      </c>
      <c r="Z26" s="1">
        <f t="shared" si="7"/>
        <v>7.1464460997773998</v>
      </c>
      <c r="AA26" s="1">
        <v>7.54</v>
      </c>
      <c r="AB26" s="1">
        <v>3</v>
      </c>
      <c r="AC26" s="1">
        <v>3571</v>
      </c>
      <c r="AD26" s="1">
        <f>(AA26*AC26)/1000</f>
        <v>26.925339999999998</v>
      </c>
      <c r="AE26" s="1">
        <f t="shared" si="8"/>
        <v>1.6328546543127755</v>
      </c>
      <c r="AF26" s="1">
        <f>AA26/Y26*1000</f>
        <v>228.4848484848485</v>
      </c>
      <c r="AG26" s="1">
        <f>(AB26*AC26)/60</f>
        <v>178.55</v>
      </c>
    </row>
    <row r="27" spans="1:33">
      <c r="A27" s="1">
        <v>2025</v>
      </c>
      <c r="B27" s="1">
        <v>1</v>
      </c>
      <c r="C27" s="1" t="s">
        <v>11</v>
      </c>
      <c r="D27" s="1">
        <v>5</v>
      </c>
      <c r="E27" s="1">
        <v>6</v>
      </c>
      <c r="F27" s="1" t="s">
        <v>6</v>
      </c>
      <c r="G27" s="1">
        <v>24.17</v>
      </c>
      <c r="H27" s="1">
        <v>33.31</v>
      </c>
      <c r="I27" s="1">
        <v>35.700000000000003</v>
      </c>
      <c r="J27" s="1">
        <v>41.11</v>
      </c>
      <c r="K27" s="1">
        <v>25.31</v>
      </c>
      <c r="L27" s="1">
        <v>27.1</v>
      </c>
      <c r="M27" s="1">
        <v>2</v>
      </c>
      <c r="N27" s="1">
        <v>3</v>
      </c>
      <c r="O27" s="1">
        <f t="shared" si="9"/>
        <v>6.4872914402906616</v>
      </c>
      <c r="P27" s="1">
        <f t="shared" si="1"/>
        <v>8.1965175313265544</v>
      </c>
      <c r="Q27" s="1">
        <f t="shared" si="2"/>
        <v>1.7092260910358927</v>
      </c>
      <c r="R27" s="1">
        <v>125</v>
      </c>
      <c r="S27" s="1">
        <v>315</v>
      </c>
      <c r="T27" s="1">
        <f>126+40+24</f>
        <v>190</v>
      </c>
      <c r="U27" s="1">
        <v>51</v>
      </c>
      <c r="V27" s="1">
        <f>60+26+39+38</f>
        <v>163</v>
      </c>
      <c r="W27" s="1">
        <f t="shared" si="0"/>
        <v>404</v>
      </c>
      <c r="X27" s="1">
        <f t="shared" si="13"/>
        <v>3.9375</v>
      </c>
      <c r="Y27" s="1">
        <v>36</v>
      </c>
      <c r="Z27" s="1">
        <f t="shared" si="7"/>
        <v>4.3921091930091469</v>
      </c>
      <c r="AA27" s="1">
        <v>6.919999999999999</v>
      </c>
      <c r="AB27" s="1">
        <v>2</v>
      </c>
      <c r="AC27" s="1">
        <v>3571</v>
      </c>
      <c r="AD27" s="1">
        <f>(AA27*AC27)/1000</f>
        <v>24.711319999999997</v>
      </c>
      <c r="AE27" s="1">
        <f t="shared" si="8"/>
        <v>0.8442609893228693</v>
      </c>
      <c r="AF27" s="1">
        <f>AA27/Y27*1000</f>
        <v>192.22222222222217</v>
      </c>
      <c r="AG27" s="1">
        <f>(AB27*AC27)/60</f>
        <v>119.03333333333333</v>
      </c>
    </row>
    <row r="28" spans="1:33">
      <c r="A28" s="1">
        <v>2025</v>
      </c>
      <c r="B28" s="1">
        <v>1</v>
      </c>
      <c r="C28" s="1" t="s">
        <v>11</v>
      </c>
      <c r="D28" s="1">
        <v>5</v>
      </c>
      <c r="E28" s="1">
        <v>7</v>
      </c>
      <c r="F28" s="1" t="s">
        <v>6</v>
      </c>
      <c r="G28" s="1">
        <v>31.02</v>
      </c>
      <c r="H28" s="1">
        <v>23.07</v>
      </c>
      <c r="I28" s="1">
        <v>28.79</v>
      </c>
      <c r="J28" s="1">
        <v>27.19</v>
      </c>
      <c r="K28" s="1">
        <v>36.25</v>
      </c>
      <c r="L28" s="1">
        <v>35.26</v>
      </c>
      <c r="M28" s="1">
        <v>2</v>
      </c>
      <c r="N28" s="1">
        <v>5</v>
      </c>
      <c r="O28" s="1">
        <f t="shared" si="9"/>
        <v>5.7446536908507664</v>
      </c>
      <c r="P28" s="1">
        <f t="shared" si="1"/>
        <v>7.9785163793455762</v>
      </c>
      <c r="Q28" s="1">
        <f t="shared" si="2"/>
        <v>2.2338626884948098</v>
      </c>
      <c r="R28" s="1">
        <v>135</v>
      </c>
      <c r="S28" s="1">
        <v>291</v>
      </c>
      <c r="T28" s="1">
        <f>19+90+40+41</f>
        <v>190</v>
      </c>
      <c r="U28" s="1">
        <v>67</v>
      </c>
      <c r="V28" s="1">
        <v>32</v>
      </c>
      <c r="W28" s="1">
        <f t="shared" si="0"/>
        <v>289</v>
      </c>
      <c r="X28" s="1">
        <f t="shared" si="13"/>
        <v>3.9285000000000001</v>
      </c>
      <c r="Y28" s="1">
        <v>44</v>
      </c>
      <c r="Z28" s="1">
        <f t="shared" si="7"/>
        <v>5.5148097601084354</v>
      </c>
      <c r="AA28" s="1">
        <v>8.56</v>
      </c>
      <c r="AB28" s="1">
        <v>3</v>
      </c>
      <c r="AC28" s="1">
        <v>3571</v>
      </c>
      <c r="AD28" s="1">
        <f>(AA28*AC28)/1000</f>
        <v>30.567760000000003</v>
      </c>
      <c r="AE28" s="1">
        <f t="shared" si="8"/>
        <v>1.0728811715120048</v>
      </c>
      <c r="AF28" s="1">
        <f>AA28/Y28*1000</f>
        <v>194.54545454545456</v>
      </c>
      <c r="AG28" s="1">
        <f>(AB28*AC28)/60</f>
        <v>178.55</v>
      </c>
    </row>
    <row r="29" spans="1:33">
      <c r="A29" s="1">
        <v>2025</v>
      </c>
      <c r="B29" s="1">
        <v>2</v>
      </c>
      <c r="C29" s="1" t="s">
        <v>11</v>
      </c>
      <c r="D29" s="1">
        <v>5</v>
      </c>
      <c r="E29" s="1">
        <v>13</v>
      </c>
      <c r="F29" s="1" t="s">
        <v>7</v>
      </c>
      <c r="G29" s="1">
        <v>26.5</v>
      </c>
      <c r="H29" s="1">
        <v>22.53</v>
      </c>
      <c r="I29" s="1">
        <v>32.770000000000003</v>
      </c>
      <c r="J29" s="1">
        <v>32.049999999999997</v>
      </c>
      <c r="K29" s="1">
        <v>25.75</v>
      </c>
      <c r="L29" s="1">
        <v>24.13</v>
      </c>
      <c r="M29" s="1">
        <v>0</v>
      </c>
      <c r="N29" s="1">
        <v>0</v>
      </c>
      <c r="O29" s="1">
        <f t="shared" si="9"/>
        <v>4.7201269194400233</v>
      </c>
      <c r="P29" s="1">
        <f t="shared" si="1"/>
        <v>6.4579805771822087</v>
      </c>
      <c r="Q29" s="1">
        <f t="shared" si="2"/>
        <v>1.7378536577421855</v>
      </c>
      <c r="R29" s="1">
        <v>160</v>
      </c>
      <c r="S29" s="1">
        <v>337</v>
      </c>
      <c r="T29" s="1">
        <f>34+9+105</f>
        <v>148</v>
      </c>
      <c r="U29" s="1">
        <v>73</v>
      </c>
      <c r="V29" s="1">
        <f>80+57</f>
        <v>137</v>
      </c>
      <c r="W29" s="1">
        <f t="shared" si="0"/>
        <v>358</v>
      </c>
      <c r="X29" s="1">
        <f t="shared" si="13"/>
        <v>5.3920000000000003</v>
      </c>
    </row>
    <row r="30" spans="1:33">
      <c r="A30" s="1">
        <v>2025</v>
      </c>
      <c r="B30" s="1">
        <v>2</v>
      </c>
      <c r="C30" s="1" t="s">
        <v>11</v>
      </c>
      <c r="D30" s="1">
        <v>5</v>
      </c>
      <c r="E30" s="1">
        <v>14</v>
      </c>
      <c r="F30" s="1" t="s">
        <v>7</v>
      </c>
      <c r="G30" s="1">
        <v>34.1</v>
      </c>
      <c r="H30" s="1">
        <v>15.91</v>
      </c>
      <c r="I30" s="1">
        <v>41.57</v>
      </c>
      <c r="J30" s="1">
        <v>37.590000000000003</v>
      </c>
      <c r="K30" s="1">
        <v>20.23</v>
      </c>
      <c r="L30" s="1">
        <v>20.11</v>
      </c>
      <c r="M30" s="1">
        <v>1</v>
      </c>
      <c r="N30" s="1">
        <v>0</v>
      </c>
      <c r="O30" s="1">
        <f t="shared" si="9"/>
        <v>4.9107022129920868</v>
      </c>
      <c r="P30" s="1">
        <f t="shared" si="1"/>
        <v>7.0098013267852561</v>
      </c>
      <c r="Q30" s="1">
        <f t="shared" si="2"/>
        <v>2.0990991137931694</v>
      </c>
      <c r="R30" s="1">
        <v>170</v>
      </c>
      <c r="S30" s="1">
        <v>320</v>
      </c>
      <c r="T30" s="1">
        <f>24+130+76+36+50+50</f>
        <v>366</v>
      </c>
      <c r="U30" s="1">
        <v>95</v>
      </c>
      <c r="V30" s="1">
        <f>40+82</f>
        <v>122</v>
      </c>
      <c r="W30" s="1">
        <f t="shared" si="0"/>
        <v>583</v>
      </c>
      <c r="X30" s="1">
        <f t="shared" si="13"/>
        <v>5.44</v>
      </c>
    </row>
    <row r="31" spans="1:33">
      <c r="A31" s="1">
        <v>2025</v>
      </c>
      <c r="B31" s="1">
        <v>2</v>
      </c>
      <c r="C31" s="1" t="s">
        <v>11</v>
      </c>
      <c r="D31" s="1">
        <v>5</v>
      </c>
      <c r="E31" s="1">
        <v>15</v>
      </c>
      <c r="F31" s="1" t="s">
        <v>7</v>
      </c>
      <c r="G31" s="1">
        <v>36.07</v>
      </c>
      <c r="H31" s="1">
        <v>14.74</v>
      </c>
      <c r="I31" s="1">
        <v>19.43</v>
      </c>
      <c r="J31" s="1">
        <v>19.239999999999998</v>
      </c>
      <c r="K31" s="1">
        <v>41.82</v>
      </c>
      <c r="L31" s="1">
        <v>43</v>
      </c>
      <c r="M31" s="1">
        <v>0</v>
      </c>
      <c r="N31" s="1">
        <v>0</v>
      </c>
      <c r="O31" s="1">
        <f t="shared" si="9"/>
        <v>5.0690698986595484</v>
      </c>
      <c r="P31" s="1">
        <f t="shared" si="1"/>
        <v>7.4857183017218478</v>
      </c>
      <c r="Q31" s="1">
        <f t="shared" si="2"/>
        <v>2.4166484030622994</v>
      </c>
      <c r="R31" s="1">
        <v>186</v>
      </c>
      <c r="S31" s="1">
        <v>320</v>
      </c>
      <c r="T31" s="1">
        <f>17+54+46+22+41</f>
        <v>180</v>
      </c>
      <c r="U31" s="1">
        <f>137+29</f>
        <v>166</v>
      </c>
      <c r="V31" s="1">
        <v>96</v>
      </c>
      <c r="W31" s="1">
        <f t="shared" si="0"/>
        <v>442</v>
      </c>
      <c r="X31" s="1">
        <f t="shared" si="13"/>
        <v>5.952</v>
      </c>
      <c r="Y31" s="1">
        <v>45</v>
      </c>
      <c r="Z31" s="1">
        <f t="shared" si="7"/>
        <v>6.0114471566007506</v>
      </c>
      <c r="AA31" s="1">
        <v>8.3800000000000008</v>
      </c>
      <c r="AB31" s="1">
        <v>4</v>
      </c>
      <c r="AC31" s="1">
        <v>3571</v>
      </c>
      <c r="AD31" s="1">
        <f>(AA31*AC31)/1000</f>
        <v>29.924980000000001</v>
      </c>
      <c r="AE31" s="1">
        <f t="shared" si="8"/>
        <v>1.119465048273651</v>
      </c>
      <c r="AF31" s="1">
        <f>AA31/Y31*1000</f>
        <v>186.22222222222223</v>
      </c>
      <c r="AG31" s="1">
        <f>(AB31*AC31)/60</f>
        <v>238.06666666666666</v>
      </c>
    </row>
    <row r="32" spans="1:33">
      <c r="A32" s="1">
        <v>2025</v>
      </c>
      <c r="B32" s="1">
        <v>2</v>
      </c>
      <c r="C32" s="1" t="s">
        <v>11</v>
      </c>
      <c r="D32" s="1">
        <v>5</v>
      </c>
      <c r="E32" s="1">
        <v>16</v>
      </c>
      <c r="F32" s="1" t="s">
        <v>7</v>
      </c>
      <c r="Y32" s="1">
        <v>63</v>
      </c>
      <c r="AA32" s="1">
        <v>10.26</v>
      </c>
      <c r="AB32" s="1">
        <v>5</v>
      </c>
      <c r="AC32" s="1">
        <v>3571</v>
      </c>
      <c r="AD32" s="1">
        <f>(AA32*AC32)/1000</f>
        <v>36.638460000000002</v>
      </c>
      <c r="AF32" s="1">
        <f>AA32/Y32*1000</f>
        <v>162.85714285714286</v>
      </c>
      <c r="AG32" s="1">
        <f>(AB32*AC32)/60</f>
        <v>297.58333333333331</v>
      </c>
    </row>
    <row r="33" spans="1:33">
      <c r="A33" s="1">
        <v>2025</v>
      </c>
      <c r="B33" s="1">
        <v>2</v>
      </c>
      <c r="C33" s="1" t="s">
        <v>11</v>
      </c>
      <c r="D33" s="1">
        <v>5</v>
      </c>
      <c r="E33" s="1">
        <v>17</v>
      </c>
      <c r="F33" s="1" t="s">
        <v>7</v>
      </c>
      <c r="G33" s="1">
        <v>32.229999999999997</v>
      </c>
      <c r="H33" s="1">
        <v>24.43</v>
      </c>
      <c r="I33" s="1">
        <v>37.619999999999997</v>
      </c>
      <c r="J33" s="1">
        <v>37.89</v>
      </c>
      <c r="K33" s="1">
        <v>29.5</v>
      </c>
      <c r="L33" s="1">
        <v>28.01</v>
      </c>
      <c r="M33" s="1">
        <v>12</v>
      </c>
      <c r="N33" s="1">
        <v>0</v>
      </c>
      <c r="O33" s="1">
        <f t="shared" si="9"/>
        <v>6.3035184802317819</v>
      </c>
      <c r="P33" s="1">
        <f t="shared" si="1"/>
        <v>8.6856792154537494</v>
      </c>
      <c r="Q33" s="1">
        <f t="shared" si="2"/>
        <v>2.3821607352219676</v>
      </c>
      <c r="R33" s="1">
        <v>160</v>
      </c>
      <c r="S33" s="1">
        <v>290</v>
      </c>
      <c r="T33" s="1">
        <f>64+23+35</f>
        <v>122</v>
      </c>
      <c r="U33" s="1">
        <v>112</v>
      </c>
      <c r="V33" s="1">
        <v>116</v>
      </c>
      <c r="W33" s="1">
        <f t="shared" si="0"/>
        <v>350</v>
      </c>
      <c r="X33" s="1">
        <f t="shared" si="13"/>
        <v>4.6399999999999997</v>
      </c>
      <c r="Y33" s="1">
        <v>85</v>
      </c>
      <c r="Z33" s="1">
        <f t="shared" si="7"/>
        <v>9.7862237243077264</v>
      </c>
      <c r="AA33" s="1">
        <v>15.6</v>
      </c>
      <c r="AB33" s="1">
        <v>4</v>
      </c>
      <c r="AC33" s="1">
        <v>3571</v>
      </c>
      <c r="AD33" s="1">
        <f>(AA33*AC33)/1000</f>
        <v>55.707599999999999</v>
      </c>
      <c r="AE33" s="1">
        <f t="shared" si="8"/>
        <v>1.7960598835200061</v>
      </c>
      <c r="AF33" s="1">
        <f>AA33/Y33*1000</f>
        <v>183.52941176470588</v>
      </c>
      <c r="AG33" s="1">
        <f>(AB33*AC33)/60</f>
        <v>238.06666666666666</v>
      </c>
    </row>
    <row r="34" spans="1:33">
      <c r="A34" s="1">
        <v>2025</v>
      </c>
      <c r="B34" s="1">
        <v>3</v>
      </c>
      <c r="C34" s="1" t="s">
        <v>11</v>
      </c>
      <c r="D34" s="1">
        <v>5</v>
      </c>
      <c r="E34" s="1">
        <v>23</v>
      </c>
      <c r="F34" s="1" t="s">
        <v>8</v>
      </c>
      <c r="G34" s="1">
        <v>22.04</v>
      </c>
      <c r="H34" s="1">
        <v>15.66</v>
      </c>
      <c r="I34" s="1">
        <v>28.55</v>
      </c>
      <c r="J34" s="1">
        <v>32.39</v>
      </c>
      <c r="K34" s="1">
        <v>21.84</v>
      </c>
      <c r="L34" s="1">
        <v>20.47</v>
      </c>
      <c r="M34" s="1">
        <v>0</v>
      </c>
      <c r="N34" s="1">
        <v>2</v>
      </c>
      <c r="O34" s="1">
        <f t="shared" si="9"/>
        <v>2.7906963891378989</v>
      </c>
      <c r="P34" s="1">
        <f t="shared" si="1"/>
        <v>5.2329913801773182</v>
      </c>
      <c r="Q34" s="1">
        <f t="shared" si="2"/>
        <v>2.4422949910394194</v>
      </c>
      <c r="R34" s="1">
        <v>105</v>
      </c>
      <c r="S34" s="1">
        <v>281</v>
      </c>
      <c r="T34" s="1">
        <v>45</v>
      </c>
      <c r="U34" s="1">
        <v>63</v>
      </c>
      <c r="V34" s="1">
        <v>64</v>
      </c>
      <c r="W34" s="1">
        <f t="shared" si="0"/>
        <v>172</v>
      </c>
      <c r="X34" s="1">
        <f t="shared" si="13"/>
        <v>2.9504999999999999</v>
      </c>
    </row>
    <row r="35" spans="1:33">
      <c r="A35" s="1">
        <v>2025</v>
      </c>
      <c r="B35" s="1">
        <v>3</v>
      </c>
      <c r="C35" s="1" t="s">
        <v>11</v>
      </c>
      <c r="D35" s="1">
        <v>5</v>
      </c>
      <c r="E35" s="1">
        <v>24</v>
      </c>
      <c r="F35" s="1" t="s">
        <v>8</v>
      </c>
      <c r="G35" s="1">
        <v>14.92</v>
      </c>
      <c r="H35" s="1">
        <v>23.4</v>
      </c>
      <c r="I35" s="1">
        <v>22.72</v>
      </c>
      <c r="J35" s="1">
        <v>20.9</v>
      </c>
      <c r="K35" s="1">
        <v>27.67</v>
      </c>
      <c r="L35" s="1">
        <v>27.82</v>
      </c>
      <c r="M35" s="1">
        <v>1</v>
      </c>
      <c r="N35" s="1">
        <v>2</v>
      </c>
      <c r="O35" s="1">
        <f t="shared" si="9"/>
        <v>2.8832406401291828</v>
      </c>
      <c r="P35" s="1">
        <f t="shared" si="1"/>
        <v>4.8217517967343504</v>
      </c>
      <c r="Q35" s="1">
        <f t="shared" si="2"/>
        <v>1.9385111566051676</v>
      </c>
      <c r="R35" s="1">
        <v>90</v>
      </c>
      <c r="S35" s="1">
        <v>284</v>
      </c>
      <c r="T35" s="1">
        <f>71+37</f>
        <v>108</v>
      </c>
      <c r="U35" s="1">
        <f>74+65+9</f>
        <v>148</v>
      </c>
      <c r="V35" s="1">
        <v>59</v>
      </c>
      <c r="W35" s="1">
        <f t="shared" si="0"/>
        <v>315</v>
      </c>
      <c r="X35" s="1">
        <f t="shared" si="13"/>
        <v>2.556</v>
      </c>
      <c r="Y35" s="1">
        <v>4</v>
      </c>
      <c r="Z35" s="1">
        <f t="shared" si="7"/>
        <v>0.82957401554951415</v>
      </c>
      <c r="AA35" s="1">
        <v>0.82000000000000006</v>
      </c>
      <c r="AB35" s="1">
        <v>0.5</v>
      </c>
      <c r="AC35" s="1">
        <v>3571</v>
      </c>
      <c r="AD35" s="1">
        <f>(AA35*AC35)/1000</f>
        <v>2.92822</v>
      </c>
      <c r="AE35" s="1">
        <f t="shared" si="8"/>
        <v>0.17006267318765042</v>
      </c>
      <c r="AF35" s="1">
        <f>AA35/Y35*1000</f>
        <v>205.00000000000003</v>
      </c>
      <c r="AG35" s="1">
        <f>(AB35*AC35)/60</f>
        <v>29.758333333333333</v>
      </c>
    </row>
    <row r="36" spans="1:33">
      <c r="A36" s="1">
        <v>2025</v>
      </c>
      <c r="B36" s="1">
        <v>3</v>
      </c>
      <c r="C36" s="1" t="s">
        <v>11</v>
      </c>
      <c r="D36" s="1">
        <v>5</v>
      </c>
      <c r="E36" s="1">
        <v>25</v>
      </c>
      <c r="F36" s="1" t="s">
        <v>8</v>
      </c>
      <c r="G36" s="1">
        <v>16.87</v>
      </c>
      <c r="H36" s="1">
        <v>23.3</v>
      </c>
      <c r="I36" s="1">
        <v>25.4</v>
      </c>
      <c r="J36" s="1">
        <v>26</v>
      </c>
      <c r="K36" s="1">
        <v>34.94</v>
      </c>
      <c r="L36" s="1">
        <v>30.78</v>
      </c>
      <c r="M36" s="1">
        <v>0</v>
      </c>
      <c r="N36" s="1">
        <v>2</v>
      </c>
      <c r="O36" s="1">
        <f t="shared" si="9"/>
        <v>3.1683529361626119</v>
      </c>
      <c r="P36" s="1">
        <f t="shared" si="1"/>
        <v>6.7333629680683886</v>
      </c>
      <c r="Q36" s="1">
        <f t="shared" si="2"/>
        <v>3.5650100319057767</v>
      </c>
      <c r="R36" s="1">
        <v>162</v>
      </c>
      <c r="S36" s="1">
        <v>316</v>
      </c>
      <c r="T36" s="1">
        <f>136+65</f>
        <v>201</v>
      </c>
      <c r="U36" s="1">
        <v>53</v>
      </c>
      <c r="V36" s="1">
        <v>76</v>
      </c>
      <c r="W36" s="1">
        <f t="shared" si="0"/>
        <v>330</v>
      </c>
      <c r="X36" s="1">
        <f t="shared" si="13"/>
        <v>5.1192000000000002</v>
      </c>
      <c r="Y36" s="1">
        <v>2</v>
      </c>
      <c r="Z36" s="1">
        <f t="shared" si="7"/>
        <v>0.29702839568943412</v>
      </c>
      <c r="AA36" s="1">
        <v>0.42000000000000015</v>
      </c>
      <c r="AB36" s="1">
        <v>0.5</v>
      </c>
      <c r="AC36" s="1">
        <v>3571</v>
      </c>
      <c r="AD36" s="1">
        <f>(AA36*AC36)/1000</f>
        <v>1.4998200000000006</v>
      </c>
      <c r="AE36" s="1">
        <f t="shared" si="8"/>
        <v>6.2375963094781189E-2</v>
      </c>
      <c r="AF36" s="1">
        <f>AA36/Y36*1000</f>
        <v>210.00000000000009</v>
      </c>
      <c r="AG36" s="1">
        <f>(AB36*AC36)/60</f>
        <v>29.758333333333333</v>
      </c>
    </row>
    <row r="37" spans="1:33">
      <c r="A37" s="1">
        <v>2025</v>
      </c>
      <c r="B37" s="1">
        <v>3</v>
      </c>
      <c r="C37" s="1" t="s">
        <v>11</v>
      </c>
      <c r="D37" s="1">
        <v>5</v>
      </c>
      <c r="E37" s="1">
        <v>26</v>
      </c>
      <c r="F37" s="1" t="s">
        <v>8</v>
      </c>
      <c r="G37" s="1">
        <v>18.809999999999999</v>
      </c>
      <c r="H37" s="1">
        <v>23.55</v>
      </c>
      <c r="I37" s="1">
        <v>26.55</v>
      </c>
      <c r="J37" s="1">
        <v>25.28</v>
      </c>
      <c r="K37" s="1">
        <v>31.06</v>
      </c>
      <c r="L37" s="1">
        <v>28.83</v>
      </c>
      <c r="M37" s="1">
        <v>0</v>
      </c>
      <c r="N37" s="1">
        <v>2</v>
      </c>
      <c r="O37" s="1">
        <f t="shared" si="9"/>
        <v>3.5232364707405348</v>
      </c>
      <c r="P37" s="1">
        <f t="shared" si="1"/>
        <v>6.1267724775408219</v>
      </c>
      <c r="Q37" s="1">
        <f t="shared" si="2"/>
        <v>2.6035360068002871</v>
      </c>
      <c r="R37" s="1">
        <v>127</v>
      </c>
      <c r="S37" s="1">
        <v>300</v>
      </c>
      <c r="T37" s="1">
        <f>30+107+18</f>
        <v>155</v>
      </c>
      <c r="U37" s="1">
        <v>60</v>
      </c>
      <c r="V37" s="1">
        <f>25+56</f>
        <v>81</v>
      </c>
      <c r="W37" s="1">
        <f t="shared" si="0"/>
        <v>296</v>
      </c>
      <c r="X37" s="1">
        <f t="shared" si="13"/>
        <v>3.81</v>
      </c>
      <c r="Y37" s="1">
        <v>3</v>
      </c>
      <c r="Z37" s="1">
        <f t="shared" si="7"/>
        <v>0.48965422022724547</v>
      </c>
      <c r="AA37" s="1">
        <v>0.57999999999999985</v>
      </c>
      <c r="AB37" s="1">
        <v>0.5</v>
      </c>
      <c r="AC37" s="1">
        <v>3571</v>
      </c>
      <c r="AD37" s="1">
        <f>(AA37*AC37)/1000</f>
        <v>2.0711799999999996</v>
      </c>
      <c r="AE37" s="1">
        <f t="shared" si="8"/>
        <v>9.4666482577267438E-2</v>
      </c>
      <c r="AF37" s="1">
        <f>AA37/Y37*1000</f>
        <v>193.33333333333329</v>
      </c>
      <c r="AG37" s="1">
        <f>(AB37*AC37)/60</f>
        <v>29.758333333333333</v>
      </c>
    </row>
    <row r="38" spans="1:33">
      <c r="A38" s="1">
        <v>2025</v>
      </c>
      <c r="B38" s="1">
        <v>4</v>
      </c>
      <c r="C38" s="1" t="s">
        <v>11</v>
      </c>
      <c r="D38" s="1">
        <v>5</v>
      </c>
      <c r="E38" s="1">
        <v>34</v>
      </c>
      <c r="F38" s="1" t="s">
        <v>6</v>
      </c>
      <c r="G38" s="1">
        <v>28.47</v>
      </c>
      <c r="H38" s="1">
        <v>16.47</v>
      </c>
      <c r="I38" s="1">
        <v>21.94</v>
      </c>
      <c r="J38" s="1">
        <v>19.350000000000001</v>
      </c>
      <c r="K38" s="1">
        <v>34.49</v>
      </c>
      <c r="L38" s="1">
        <v>32.44</v>
      </c>
      <c r="M38" s="1">
        <v>0</v>
      </c>
      <c r="N38" s="1">
        <v>5</v>
      </c>
      <c r="O38" s="1">
        <f t="shared" si="9"/>
        <v>3.9654823955771867</v>
      </c>
      <c r="P38" s="1">
        <f t="shared" si="1"/>
        <v>5.7489026949147446</v>
      </c>
      <c r="Q38" s="1">
        <f t="shared" si="2"/>
        <v>1.7834202993375579</v>
      </c>
      <c r="R38" s="1">
        <v>120</v>
      </c>
      <c r="S38" s="1">
        <v>286</v>
      </c>
      <c r="T38" s="1">
        <f>93+22+7</f>
        <v>122</v>
      </c>
      <c r="U38" s="1">
        <v>121</v>
      </c>
      <c r="V38" s="1">
        <v>43</v>
      </c>
      <c r="W38" s="1">
        <f t="shared" si="0"/>
        <v>286</v>
      </c>
      <c r="X38" s="1">
        <f t="shared" si="13"/>
        <v>3.4319999999999999</v>
      </c>
    </row>
    <row r="39" spans="1:33">
      <c r="A39" s="1">
        <v>2025</v>
      </c>
      <c r="B39" s="1">
        <v>4</v>
      </c>
      <c r="C39" s="1" t="s">
        <v>11</v>
      </c>
      <c r="D39" s="1">
        <v>5</v>
      </c>
      <c r="E39" s="1">
        <v>35</v>
      </c>
      <c r="F39" s="1" t="s">
        <v>6</v>
      </c>
      <c r="G39" s="1">
        <v>30.71</v>
      </c>
      <c r="H39" s="1">
        <v>21.89</v>
      </c>
      <c r="I39" s="1">
        <v>37.74</v>
      </c>
      <c r="J39" s="1">
        <v>34.93</v>
      </c>
      <c r="K39" s="1">
        <v>28.76</v>
      </c>
      <c r="L39" s="1">
        <v>25.74</v>
      </c>
      <c r="M39" s="1">
        <v>0</v>
      </c>
      <c r="N39" s="1">
        <v>6</v>
      </c>
      <c r="O39" s="1">
        <f t="shared" si="9"/>
        <v>5.4325205564038095</v>
      </c>
      <c r="P39" s="1">
        <f t="shared" si="1"/>
        <v>7.9385144800874174</v>
      </c>
      <c r="Q39" s="1">
        <f t="shared" si="2"/>
        <v>2.505993923683608</v>
      </c>
      <c r="R39" s="1">
        <v>120</v>
      </c>
      <c r="S39" s="1">
        <v>296</v>
      </c>
      <c r="T39" s="1">
        <v>68</v>
      </c>
      <c r="U39" s="1">
        <v>48</v>
      </c>
      <c r="V39" s="1">
        <v>87</v>
      </c>
      <c r="W39" s="1">
        <f t="shared" si="0"/>
        <v>203</v>
      </c>
      <c r="X39" s="1">
        <f t="shared" si="13"/>
        <v>3.552</v>
      </c>
      <c r="Y39" s="1">
        <v>23</v>
      </c>
      <c r="Z39" s="1">
        <f t="shared" si="7"/>
        <v>2.8972674998190251</v>
      </c>
      <c r="AA39" s="1">
        <v>8.0200000000000014</v>
      </c>
      <c r="AB39" s="1">
        <v>1</v>
      </c>
      <c r="AC39" s="1">
        <v>3571</v>
      </c>
      <c r="AD39" s="1">
        <f t="shared" ref="AD39:AD44" si="14">(AA39*AC39)/1000</f>
        <v>28.639420000000005</v>
      </c>
      <c r="AE39" s="1">
        <f t="shared" si="8"/>
        <v>1.0102645803716777</v>
      </c>
      <c r="AF39" s="1">
        <f t="shared" ref="AF39:AF44" si="15">AA39/Y39*1000</f>
        <v>348.69565217391312</v>
      </c>
      <c r="AG39" s="1">
        <f t="shared" ref="AG39:AG44" si="16">(AB39*AC39)/60</f>
        <v>59.516666666666666</v>
      </c>
    </row>
    <row r="40" spans="1:33">
      <c r="A40" s="1">
        <v>2025</v>
      </c>
      <c r="B40" s="1">
        <v>4</v>
      </c>
      <c r="C40" s="1" t="s">
        <v>11</v>
      </c>
      <c r="D40" s="1">
        <v>5</v>
      </c>
      <c r="E40" s="1">
        <v>36</v>
      </c>
      <c r="F40" s="1" t="s">
        <v>6</v>
      </c>
      <c r="G40" s="1">
        <v>30.06</v>
      </c>
      <c r="H40" s="1">
        <v>17.95</v>
      </c>
      <c r="I40" s="1">
        <v>34.83</v>
      </c>
      <c r="J40" s="1">
        <v>36.24</v>
      </c>
      <c r="K40" s="1">
        <v>18.02</v>
      </c>
      <c r="L40" s="1">
        <v>17.440000000000001</v>
      </c>
      <c r="M40" s="1">
        <v>1</v>
      </c>
      <c r="N40" s="1">
        <v>4</v>
      </c>
      <c r="O40" s="1">
        <f t="shared" si="9"/>
        <v>4.5257785731109976</v>
      </c>
      <c r="P40" s="1">
        <f t="shared" si="1"/>
        <v>5.5707510749482259</v>
      </c>
      <c r="Q40" s="1">
        <f t="shared" si="2"/>
        <v>1.0449725018372282</v>
      </c>
      <c r="R40" s="1">
        <v>133</v>
      </c>
      <c r="S40" s="1">
        <v>303</v>
      </c>
      <c r="T40" s="1">
        <v>137</v>
      </c>
      <c r="U40" s="1">
        <v>55</v>
      </c>
      <c r="V40" s="1">
        <v>120</v>
      </c>
      <c r="W40" s="1">
        <f t="shared" si="0"/>
        <v>312</v>
      </c>
      <c r="X40" s="1">
        <f t="shared" si="13"/>
        <v>4.0298999999999996</v>
      </c>
      <c r="Y40" s="1">
        <v>39</v>
      </c>
      <c r="Z40" s="1">
        <f t="shared" si="7"/>
        <v>7.0008513170483866</v>
      </c>
      <c r="AA40" s="1">
        <v>5.0599999999999996</v>
      </c>
      <c r="AB40" s="1">
        <v>2</v>
      </c>
      <c r="AC40" s="1">
        <v>3571</v>
      </c>
      <c r="AD40" s="1">
        <f t="shared" si="14"/>
        <v>18.06926</v>
      </c>
      <c r="AE40" s="1">
        <f t="shared" si="8"/>
        <v>0.90831558113499566</v>
      </c>
      <c r="AF40" s="1">
        <f t="shared" si="15"/>
        <v>129.74358974358975</v>
      </c>
      <c r="AG40" s="1">
        <f t="shared" si="16"/>
        <v>119.03333333333333</v>
      </c>
    </row>
    <row r="41" spans="1:33">
      <c r="A41" s="1">
        <v>2025</v>
      </c>
      <c r="B41" s="1">
        <v>4</v>
      </c>
      <c r="C41" s="1" t="s">
        <v>11</v>
      </c>
      <c r="D41" s="1">
        <v>5</v>
      </c>
      <c r="E41" s="1">
        <v>37</v>
      </c>
      <c r="F41" s="1" t="s">
        <v>6</v>
      </c>
      <c r="G41" s="1">
        <v>24.73</v>
      </c>
      <c r="H41" s="1">
        <v>15.25</v>
      </c>
      <c r="I41" s="1">
        <v>30.55</v>
      </c>
      <c r="J41" s="1">
        <v>35.64</v>
      </c>
      <c r="K41" s="1">
        <v>18.649999999999999</v>
      </c>
      <c r="L41" s="1">
        <v>19.12</v>
      </c>
      <c r="M41" s="1">
        <v>0</v>
      </c>
      <c r="N41" s="1">
        <v>4</v>
      </c>
      <c r="O41" s="1">
        <f t="shared" si="9"/>
        <v>3.1384518463343674</v>
      </c>
      <c r="P41" s="1">
        <f t="shared" si="1"/>
        <v>5.3052082995152485</v>
      </c>
      <c r="Q41" s="1">
        <f t="shared" si="2"/>
        <v>2.1667564531808812</v>
      </c>
      <c r="R41" s="1">
        <v>137</v>
      </c>
      <c r="S41" s="1">
        <v>305</v>
      </c>
      <c r="T41" s="1">
        <v>75</v>
      </c>
      <c r="U41" s="1">
        <v>92</v>
      </c>
      <c r="V41" s="1">
        <v>135</v>
      </c>
      <c r="W41" s="1">
        <f t="shared" si="0"/>
        <v>302</v>
      </c>
      <c r="X41" s="1">
        <f t="shared" si="13"/>
        <v>4.1784999999999997</v>
      </c>
      <c r="Y41" s="1">
        <v>42</v>
      </c>
      <c r="Z41" s="1">
        <f t="shared" si="7"/>
        <v>7.9167485287689185</v>
      </c>
      <c r="AA41" s="1">
        <v>8.74</v>
      </c>
      <c r="AB41" s="1">
        <v>2</v>
      </c>
      <c r="AC41" s="1">
        <v>3571</v>
      </c>
      <c r="AD41" s="1">
        <f t="shared" si="14"/>
        <v>31.210540000000002</v>
      </c>
      <c r="AE41" s="1">
        <f t="shared" si="8"/>
        <v>1.6474376700342941</v>
      </c>
      <c r="AF41" s="1">
        <f t="shared" si="15"/>
        <v>208.0952380952381</v>
      </c>
      <c r="AG41" s="1">
        <f t="shared" si="16"/>
        <v>119.03333333333333</v>
      </c>
    </row>
    <row r="42" spans="1:33">
      <c r="A42" s="1">
        <v>2025</v>
      </c>
      <c r="B42" s="1">
        <v>5</v>
      </c>
      <c r="C42" s="1" t="s">
        <v>11</v>
      </c>
      <c r="D42" s="1">
        <v>5</v>
      </c>
      <c r="E42" s="1">
        <v>43</v>
      </c>
      <c r="F42" s="1" t="s">
        <v>9</v>
      </c>
      <c r="G42" s="1">
        <v>30.38</v>
      </c>
      <c r="H42" s="1">
        <v>21.9</v>
      </c>
      <c r="I42" s="1">
        <v>35.75</v>
      </c>
      <c r="J42" s="1">
        <v>36.520000000000003</v>
      </c>
      <c r="K42" s="1">
        <v>25.18</v>
      </c>
      <c r="L42" s="1">
        <v>25.56</v>
      </c>
      <c r="M42" s="1">
        <v>0</v>
      </c>
      <c r="N42" s="1">
        <v>2</v>
      </c>
      <c r="O42" s="1">
        <f t="shared" si="9"/>
        <v>5.3666225089021102</v>
      </c>
      <c r="P42" s="1">
        <f t="shared" si="1"/>
        <v>7.4276381075386073</v>
      </c>
      <c r="Q42" s="1">
        <f t="shared" si="2"/>
        <v>2.0610155986364971</v>
      </c>
      <c r="R42" s="1">
        <v>125</v>
      </c>
      <c r="S42" s="1">
        <v>286</v>
      </c>
      <c r="T42" s="1">
        <f>21+53+22+12</f>
        <v>108</v>
      </c>
      <c r="U42" s="1">
        <f>71+53+18</f>
        <v>142</v>
      </c>
      <c r="V42" s="1">
        <v>60</v>
      </c>
      <c r="W42" s="1">
        <f t="shared" si="0"/>
        <v>310</v>
      </c>
      <c r="X42" s="1">
        <f t="shared" si="13"/>
        <v>3.5750000000000002</v>
      </c>
      <c r="Y42" s="1">
        <v>37</v>
      </c>
      <c r="Z42" s="1">
        <f t="shared" si="7"/>
        <v>4.9813950901090909</v>
      </c>
      <c r="AA42" s="1">
        <v>6.44</v>
      </c>
      <c r="AB42" s="1">
        <v>2</v>
      </c>
      <c r="AC42" s="1">
        <v>3571</v>
      </c>
      <c r="AD42" s="1">
        <f t="shared" si="14"/>
        <v>22.997240000000001</v>
      </c>
      <c r="AE42" s="1">
        <f t="shared" si="8"/>
        <v>0.86703201027844723</v>
      </c>
      <c r="AF42" s="1">
        <f t="shared" si="15"/>
        <v>174.05405405405406</v>
      </c>
      <c r="AG42" s="1">
        <f t="shared" si="16"/>
        <v>119.03333333333333</v>
      </c>
    </row>
    <row r="43" spans="1:33">
      <c r="A43" s="1">
        <v>2025</v>
      </c>
      <c r="B43" s="1">
        <v>5</v>
      </c>
      <c r="C43" s="1" t="s">
        <v>11</v>
      </c>
      <c r="D43" s="1">
        <v>5</v>
      </c>
      <c r="E43" s="1">
        <v>44</v>
      </c>
      <c r="F43" s="1" t="s">
        <v>9</v>
      </c>
      <c r="Y43" s="1">
        <v>13</v>
      </c>
      <c r="AA43" s="1">
        <v>2.12</v>
      </c>
      <c r="AB43" s="1">
        <v>2</v>
      </c>
      <c r="AC43" s="1">
        <v>3571</v>
      </c>
      <c r="AD43" s="1">
        <f t="shared" si="14"/>
        <v>7.5705200000000001</v>
      </c>
      <c r="AF43" s="1">
        <f t="shared" si="15"/>
        <v>163.07692307692309</v>
      </c>
      <c r="AG43" s="1">
        <f t="shared" si="16"/>
        <v>119.03333333333333</v>
      </c>
    </row>
    <row r="44" spans="1:33">
      <c r="A44" s="1">
        <v>2025</v>
      </c>
      <c r="B44" s="1">
        <v>5</v>
      </c>
      <c r="C44" s="1" t="s">
        <v>11</v>
      </c>
      <c r="D44" s="1">
        <v>5</v>
      </c>
      <c r="E44" s="1">
        <v>45</v>
      </c>
      <c r="F44" s="1" t="s">
        <v>9</v>
      </c>
      <c r="G44" s="1">
        <v>27.37</v>
      </c>
      <c r="H44" s="1">
        <v>27.84</v>
      </c>
      <c r="I44" s="1">
        <v>31.22</v>
      </c>
      <c r="J44" s="1">
        <v>33.880000000000003</v>
      </c>
      <c r="K44" s="1">
        <v>32.06</v>
      </c>
      <c r="L44" s="1">
        <v>34.68</v>
      </c>
      <c r="M44" s="1">
        <v>0</v>
      </c>
      <c r="N44" s="1">
        <v>2</v>
      </c>
      <c r="O44" s="1">
        <f t="shared" si="9"/>
        <v>5.9850169447769197</v>
      </c>
      <c r="P44" s="1">
        <f t="shared" si="1"/>
        <v>8.5322640542551351</v>
      </c>
      <c r="Q44" s="1">
        <f t="shared" si="2"/>
        <v>2.5472471094782154</v>
      </c>
      <c r="R44" s="1">
        <v>155</v>
      </c>
      <c r="S44" s="1">
        <v>316</v>
      </c>
      <c r="T44" s="1">
        <f>25+34+10+18+23+77+20+27</f>
        <v>234</v>
      </c>
      <c r="U44" s="1">
        <f>53+26+29</f>
        <v>108</v>
      </c>
      <c r="V44" s="1">
        <v>64</v>
      </c>
      <c r="W44" s="1">
        <f t="shared" si="0"/>
        <v>406</v>
      </c>
      <c r="X44" s="1">
        <f t="shared" si="13"/>
        <v>4.8979999999999997</v>
      </c>
      <c r="Y44" s="1">
        <v>69</v>
      </c>
      <c r="Z44" s="1">
        <f t="shared" si="7"/>
        <v>8.0869508446106906</v>
      </c>
      <c r="AA44" s="1">
        <v>11.22</v>
      </c>
      <c r="AB44" s="1">
        <v>5</v>
      </c>
      <c r="AC44" s="1">
        <v>3571</v>
      </c>
      <c r="AD44" s="1">
        <f t="shared" si="14"/>
        <v>40.06662</v>
      </c>
      <c r="AE44" s="1">
        <f t="shared" si="8"/>
        <v>1.3150085286453905</v>
      </c>
      <c r="AF44" s="1">
        <f t="shared" si="15"/>
        <v>162.60869565217394</v>
      </c>
      <c r="AG44" s="1">
        <f t="shared" si="16"/>
        <v>297.58333333333331</v>
      </c>
    </row>
    <row r="45" spans="1:33">
      <c r="A45" s="1">
        <v>2025</v>
      </c>
      <c r="B45" s="1">
        <v>5</v>
      </c>
      <c r="C45" s="1" t="s">
        <v>11</v>
      </c>
      <c r="D45" s="1">
        <v>5</v>
      </c>
      <c r="E45" s="1">
        <v>46</v>
      </c>
      <c r="F45" s="1" t="s">
        <v>9</v>
      </c>
      <c r="G45" s="1">
        <v>28.41</v>
      </c>
      <c r="H45" s="1">
        <v>26.05</v>
      </c>
      <c r="I45" s="1">
        <v>31.02</v>
      </c>
      <c r="J45" s="1">
        <v>33.15</v>
      </c>
      <c r="K45" s="1">
        <v>28.17</v>
      </c>
      <c r="L45" s="1">
        <v>27.87</v>
      </c>
      <c r="M45" s="1">
        <v>0</v>
      </c>
      <c r="N45" s="1">
        <v>0</v>
      </c>
      <c r="O45" s="1">
        <f t="shared" si="9"/>
        <v>5.823514538689798</v>
      </c>
      <c r="P45" s="1">
        <f t="shared" si="1"/>
        <v>7.0933451602609336</v>
      </c>
      <c r="Q45" s="1">
        <f t="shared" si="2"/>
        <v>1.2698306215711357</v>
      </c>
      <c r="R45" s="1">
        <v>118</v>
      </c>
      <c r="S45" s="1">
        <v>300</v>
      </c>
      <c r="T45" s="1">
        <f>13+45+35</f>
        <v>93</v>
      </c>
      <c r="U45" s="1">
        <v>95</v>
      </c>
      <c r="V45" s="1">
        <f>73+14</f>
        <v>87</v>
      </c>
      <c r="W45" s="1">
        <f t="shared" si="0"/>
        <v>275</v>
      </c>
      <c r="X45" s="1">
        <f t="shared" si="13"/>
        <v>3.54</v>
      </c>
    </row>
    <row r="46" spans="1:33">
      <c r="A46" s="1">
        <v>2025</v>
      </c>
      <c r="B46" s="1">
        <v>5</v>
      </c>
      <c r="C46" s="1" t="s">
        <v>11</v>
      </c>
      <c r="D46" s="1">
        <v>5</v>
      </c>
      <c r="E46" s="1">
        <v>47</v>
      </c>
      <c r="F46" s="1" t="s">
        <v>9</v>
      </c>
      <c r="G46" s="1">
        <v>30.66</v>
      </c>
      <c r="H46" s="1">
        <v>25.03</v>
      </c>
      <c r="I46" s="1">
        <v>35.06</v>
      </c>
      <c r="J46" s="1">
        <v>36.229999999999997</v>
      </c>
      <c r="K46" s="1">
        <v>29.31</v>
      </c>
      <c r="L46" s="1">
        <v>28.59</v>
      </c>
      <c r="M46" s="1">
        <v>0</v>
      </c>
      <c r="N46" s="1">
        <v>2</v>
      </c>
      <c r="O46" s="1">
        <f t="shared" si="9"/>
        <v>6.089537732361852</v>
      </c>
      <c r="P46" s="1">
        <f t="shared" si="1"/>
        <v>8.1927121299627377</v>
      </c>
      <c r="Q46" s="1">
        <f t="shared" si="2"/>
        <v>2.1031743976008856</v>
      </c>
      <c r="R46" s="1">
        <v>184</v>
      </c>
      <c r="S46" s="1">
        <v>320</v>
      </c>
      <c r="T46" s="1">
        <v>112</v>
      </c>
      <c r="U46" s="1">
        <v>126</v>
      </c>
      <c r="V46" s="1">
        <v>123</v>
      </c>
      <c r="W46" s="1">
        <f t="shared" si="0"/>
        <v>361</v>
      </c>
      <c r="X46" s="1">
        <f t="shared" si="13"/>
        <v>5.8879999999999999</v>
      </c>
    </row>
    <row r="47" spans="1:33">
      <c r="A47" s="1">
        <v>2025</v>
      </c>
      <c r="B47" s="1">
        <v>6</v>
      </c>
      <c r="C47" s="1" t="s">
        <v>11</v>
      </c>
      <c r="D47" s="1">
        <v>5</v>
      </c>
      <c r="E47" s="1">
        <v>52</v>
      </c>
      <c r="F47" s="1" t="s">
        <v>10</v>
      </c>
      <c r="G47" s="1">
        <v>22.39</v>
      </c>
      <c r="H47" s="1">
        <v>27.31</v>
      </c>
      <c r="I47" s="1">
        <v>29.22</v>
      </c>
      <c r="J47" s="1">
        <v>26.89</v>
      </c>
      <c r="K47" s="1">
        <v>31.19</v>
      </c>
      <c r="L47" s="1">
        <v>35.520000000000003</v>
      </c>
      <c r="M47" s="1">
        <v>0</v>
      </c>
      <c r="N47" s="1">
        <v>0</v>
      </c>
      <c r="O47" s="1">
        <f t="shared" si="9"/>
        <v>4.8500103735660094</v>
      </c>
      <c r="P47" s="1">
        <f t="shared" si="1"/>
        <v>7.4047105189157811</v>
      </c>
      <c r="Q47" s="1">
        <f t="shared" si="2"/>
        <v>2.5547001453497717</v>
      </c>
      <c r="R47" s="1">
        <v>105</v>
      </c>
      <c r="S47" s="1">
        <v>306</v>
      </c>
      <c r="T47" s="1">
        <f>14+31+52+46+61</f>
        <v>204</v>
      </c>
      <c r="U47" s="1">
        <v>68</v>
      </c>
      <c r="V47" s="1">
        <v>69</v>
      </c>
      <c r="W47" s="1">
        <f t="shared" si="0"/>
        <v>341</v>
      </c>
      <c r="X47" s="1">
        <f t="shared" si="13"/>
        <v>3.2130000000000001</v>
      </c>
    </row>
    <row r="48" spans="1:33">
      <c r="A48" s="1">
        <v>2025</v>
      </c>
      <c r="B48" s="1">
        <v>6</v>
      </c>
      <c r="C48" s="1" t="s">
        <v>11</v>
      </c>
      <c r="D48" s="1">
        <v>5</v>
      </c>
      <c r="E48" s="1">
        <v>57</v>
      </c>
      <c r="F48" s="1" t="s">
        <v>10</v>
      </c>
      <c r="G48" s="1">
        <v>27.99</v>
      </c>
      <c r="H48" s="1">
        <v>26.96</v>
      </c>
      <c r="I48" s="1">
        <v>27.69</v>
      </c>
      <c r="J48" s="1">
        <v>29.42</v>
      </c>
      <c r="K48" s="1">
        <v>33.32</v>
      </c>
      <c r="L48" s="1">
        <v>31.32</v>
      </c>
      <c r="M48" s="1">
        <v>0</v>
      </c>
      <c r="N48" s="1">
        <v>2</v>
      </c>
      <c r="O48" s="1">
        <f t="shared" si="9"/>
        <v>5.9287792946850093</v>
      </c>
      <c r="P48" s="1">
        <f t="shared" si="1"/>
        <v>7.2762537896409931</v>
      </c>
      <c r="Q48" s="1">
        <f t="shared" si="2"/>
        <v>1.3474744949559838</v>
      </c>
      <c r="R48" s="1">
        <v>143</v>
      </c>
      <c r="S48" s="1">
        <v>336</v>
      </c>
      <c r="T48" s="1">
        <v>83</v>
      </c>
      <c r="U48" s="1">
        <v>72</v>
      </c>
      <c r="V48" s="1">
        <v>74</v>
      </c>
      <c r="W48" s="1">
        <f t="shared" si="0"/>
        <v>229</v>
      </c>
      <c r="X48" s="1">
        <f t="shared" si="13"/>
        <v>4.8048000000000002</v>
      </c>
      <c r="Y48" s="1">
        <v>68</v>
      </c>
      <c r="Z48" s="1">
        <f t="shared" si="7"/>
        <v>9.3454684190386228</v>
      </c>
      <c r="AA48" s="1">
        <v>12.74</v>
      </c>
      <c r="AB48" s="1">
        <v>3</v>
      </c>
      <c r="AC48" s="1">
        <v>3571</v>
      </c>
      <c r="AD48" s="1">
        <f t="shared" ref="AD48:AD53" si="17">(AA48*AC48)/1000</f>
        <v>45.494540000000001</v>
      </c>
      <c r="AE48" s="1">
        <f t="shared" si="8"/>
        <v>1.7509009949787067</v>
      </c>
      <c r="AF48" s="1">
        <f t="shared" ref="AF48:AF53" si="18">AA48/Y48*1000</f>
        <v>187.35294117647058</v>
      </c>
      <c r="AG48" s="1">
        <f t="shared" ref="AG48:AG53" si="19">(AB48*AC48)/60</f>
        <v>178.55</v>
      </c>
    </row>
    <row r="49" spans="1:33">
      <c r="A49" s="1">
        <v>2025</v>
      </c>
      <c r="B49" s="1">
        <v>6</v>
      </c>
      <c r="C49" s="1" t="s">
        <v>11</v>
      </c>
      <c r="D49" s="1">
        <v>5</v>
      </c>
      <c r="E49" s="1">
        <v>58</v>
      </c>
      <c r="F49" s="1" t="s">
        <v>10</v>
      </c>
      <c r="G49" s="1">
        <v>29.62</v>
      </c>
      <c r="H49" s="1">
        <v>30.02</v>
      </c>
      <c r="I49" s="1">
        <v>33.51</v>
      </c>
      <c r="J49" s="1">
        <v>33.25</v>
      </c>
      <c r="K49" s="1">
        <v>34.99</v>
      </c>
      <c r="L49" s="1">
        <v>33.14</v>
      </c>
      <c r="M49" s="1">
        <v>1</v>
      </c>
      <c r="N49" s="1">
        <v>2</v>
      </c>
      <c r="O49" s="1">
        <f t="shared" si="9"/>
        <v>6.9840149379350525</v>
      </c>
      <c r="P49" s="1">
        <f t="shared" si="1"/>
        <v>8.9316029411146047</v>
      </c>
      <c r="Q49" s="1">
        <f t="shared" si="2"/>
        <v>1.9475880031795523</v>
      </c>
      <c r="R49" s="1">
        <v>124</v>
      </c>
      <c r="S49" s="1">
        <v>303</v>
      </c>
      <c r="T49" s="1">
        <v>72</v>
      </c>
      <c r="U49" s="1">
        <f>23+86</f>
        <v>109</v>
      </c>
      <c r="V49" s="1">
        <f>89+68</f>
        <v>157</v>
      </c>
      <c r="W49" s="1">
        <f t="shared" si="0"/>
        <v>338</v>
      </c>
      <c r="X49" s="1">
        <f t="shared" si="13"/>
        <v>3.7572000000000001</v>
      </c>
      <c r="Y49" s="1">
        <v>58</v>
      </c>
      <c r="Z49" s="1">
        <f t="shared" si="7"/>
        <v>6.4937951655923012</v>
      </c>
      <c r="AA49" s="1">
        <v>11.440000000000001</v>
      </c>
      <c r="AB49" s="1">
        <v>3</v>
      </c>
      <c r="AC49" s="1">
        <v>3571</v>
      </c>
      <c r="AD49" s="1">
        <f t="shared" si="17"/>
        <v>40.852240000000002</v>
      </c>
      <c r="AE49" s="1">
        <f t="shared" si="8"/>
        <v>1.2808451154202747</v>
      </c>
      <c r="AF49" s="1">
        <f t="shared" si="18"/>
        <v>197.24137931034485</v>
      </c>
      <c r="AG49" s="1">
        <f t="shared" si="19"/>
        <v>178.55</v>
      </c>
    </row>
    <row r="50" spans="1:33">
      <c r="A50" s="1">
        <v>2025</v>
      </c>
      <c r="B50" s="1">
        <v>6</v>
      </c>
      <c r="C50" s="1" t="s">
        <v>11</v>
      </c>
      <c r="D50" s="1">
        <v>5</v>
      </c>
      <c r="E50" s="1">
        <v>59</v>
      </c>
      <c r="F50" s="1" t="s">
        <v>10</v>
      </c>
      <c r="G50" s="1">
        <v>16.09</v>
      </c>
      <c r="H50" s="1">
        <v>31.18</v>
      </c>
      <c r="I50" s="1">
        <v>23.93</v>
      </c>
      <c r="J50" s="1">
        <v>18.260000000000002</v>
      </c>
      <c r="K50" s="1">
        <v>35.94</v>
      </c>
      <c r="L50" s="1">
        <v>34.85</v>
      </c>
      <c r="M50" s="1">
        <v>5</v>
      </c>
      <c r="N50" s="1">
        <v>2</v>
      </c>
      <c r="O50" s="1">
        <f t="shared" si="9"/>
        <v>4.3873380096452541</v>
      </c>
      <c r="P50" s="1">
        <f t="shared" si="1"/>
        <v>6.2657496643017021</v>
      </c>
      <c r="Q50" s="1">
        <f t="shared" si="2"/>
        <v>1.878411654656448</v>
      </c>
      <c r="R50" s="1">
        <v>161</v>
      </c>
      <c r="S50" s="1">
        <v>310</v>
      </c>
      <c r="T50" s="1">
        <f>67+39</f>
        <v>106</v>
      </c>
      <c r="U50" s="1">
        <v>61</v>
      </c>
      <c r="V50" s="1">
        <v>47</v>
      </c>
      <c r="W50" s="1">
        <f t="shared" si="0"/>
        <v>214</v>
      </c>
      <c r="X50" s="1">
        <f t="shared" si="13"/>
        <v>4.9909999999999997</v>
      </c>
      <c r="Y50" s="1">
        <v>38</v>
      </c>
      <c r="Z50" s="1">
        <f t="shared" si="7"/>
        <v>6.06471723830591</v>
      </c>
      <c r="AA50" s="1">
        <v>7.7399999999999993</v>
      </c>
      <c r="AB50" s="1">
        <v>3</v>
      </c>
      <c r="AC50" s="1">
        <v>3571</v>
      </c>
      <c r="AD50" s="1">
        <f t="shared" si="17"/>
        <v>27.639539999999997</v>
      </c>
      <c r="AE50" s="1">
        <f t="shared" si="8"/>
        <v>1.2352871427496772</v>
      </c>
      <c r="AF50" s="1">
        <f t="shared" si="18"/>
        <v>203.68421052631578</v>
      </c>
      <c r="AG50" s="1">
        <f t="shared" si="19"/>
        <v>178.55</v>
      </c>
    </row>
    <row r="51" spans="1:33">
      <c r="A51" s="1">
        <v>2025</v>
      </c>
      <c r="B51" s="1">
        <v>7</v>
      </c>
      <c r="C51" s="1" t="s">
        <v>11</v>
      </c>
      <c r="D51" s="1">
        <v>5</v>
      </c>
      <c r="E51" s="1">
        <v>66</v>
      </c>
      <c r="F51" s="1" t="s">
        <v>8</v>
      </c>
      <c r="G51" s="1">
        <v>20.18</v>
      </c>
      <c r="H51" s="1">
        <v>17.3</v>
      </c>
      <c r="I51" s="1">
        <v>27.97</v>
      </c>
      <c r="J51" s="1">
        <v>25.4</v>
      </c>
      <c r="K51" s="1">
        <v>22.88</v>
      </c>
      <c r="L51" s="1">
        <v>24.25</v>
      </c>
      <c r="M51" s="1">
        <v>0</v>
      </c>
      <c r="N51" s="1">
        <v>2</v>
      </c>
      <c r="O51" s="1">
        <f t="shared" si="9"/>
        <v>2.7582209604795773</v>
      </c>
      <c r="P51" s="1">
        <f t="shared" si="1"/>
        <v>4.9579486249094238</v>
      </c>
      <c r="Q51" s="1">
        <f t="shared" si="2"/>
        <v>2.1997276644298465</v>
      </c>
      <c r="R51" s="1">
        <v>105</v>
      </c>
      <c r="S51" s="1">
        <v>295</v>
      </c>
      <c r="T51" s="1">
        <v>27</v>
      </c>
      <c r="U51" s="1">
        <f>62+28</f>
        <v>90</v>
      </c>
      <c r="V51" s="1">
        <f>36+65+69+78</f>
        <v>248</v>
      </c>
      <c r="W51" s="1">
        <f t="shared" si="0"/>
        <v>365</v>
      </c>
      <c r="X51" s="1">
        <f t="shared" si="13"/>
        <v>3.0975000000000001</v>
      </c>
      <c r="Y51" s="1">
        <v>5</v>
      </c>
      <c r="Z51" s="1">
        <f t="shared" si="7"/>
        <v>1.008481607671226</v>
      </c>
      <c r="AA51" s="1">
        <v>0.76</v>
      </c>
      <c r="AB51" s="1">
        <v>0.5</v>
      </c>
      <c r="AC51" s="1">
        <v>3571</v>
      </c>
      <c r="AD51" s="1">
        <f t="shared" si="17"/>
        <v>2.7139600000000002</v>
      </c>
      <c r="AE51" s="1">
        <f t="shared" si="8"/>
        <v>0.15328920436602636</v>
      </c>
      <c r="AF51" s="1">
        <f t="shared" si="18"/>
        <v>152</v>
      </c>
      <c r="AG51" s="1">
        <f t="shared" si="19"/>
        <v>29.758333333333333</v>
      </c>
    </row>
    <row r="52" spans="1:33">
      <c r="A52" s="1">
        <v>2025</v>
      </c>
      <c r="B52" s="1">
        <v>7</v>
      </c>
      <c r="C52" s="1" t="s">
        <v>11</v>
      </c>
      <c r="D52" s="1">
        <v>5</v>
      </c>
      <c r="E52" s="1">
        <v>67</v>
      </c>
      <c r="F52" s="1" t="s">
        <v>8</v>
      </c>
      <c r="G52" s="1">
        <v>19.05</v>
      </c>
      <c r="H52" s="1">
        <v>19.97</v>
      </c>
      <c r="I52" s="1">
        <v>25.6</v>
      </c>
      <c r="J52" s="1">
        <v>27.4</v>
      </c>
      <c r="K52" s="1">
        <v>24.66</v>
      </c>
      <c r="L52" s="1">
        <v>23.94</v>
      </c>
      <c r="M52" s="1">
        <v>0</v>
      </c>
      <c r="N52" s="1">
        <v>0</v>
      </c>
      <c r="O52" s="1">
        <f t="shared" si="9"/>
        <v>2.9895403545542099</v>
      </c>
      <c r="P52" s="1">
        <f t="shared" si="1"/>
        <v>5.0670747909749769</v>
      </c>
      <c r="Q52" s="1">
        <f t="shared" si="2"/>
        <v>2.0775344364207671</v>
      </c>
      <c r="R52" s="1">
        <v>111</v>
      </c>
      <c r="S52" s="1">
        <v>270</v>
      </c>
      <c r="T52" s="1">
        <v>126</v>
      </c>
      <c r="U52" s="1">
        <v>89</v>
      </c>
      <c r="V52" s="1">
        <v>75</v>
      </c>
      <c r="W52" s="1">
        <f t="shared" si="0"/>
        <v>290</v>
      </c>
      <c r="X52" s="1">
        <f t="shared" si="13"/>
        <v>2.9969999999999999</v>
      </c>
      <c r="Y52" s="1">
        <v>28</v>
      </c>
      <c r="Z52" s="1">
        <f t="shared" si="7"/>
        <v>5.5258706758919587</v>
      </c>
      <c r="AA52" s="1">
        <v>5.2</v>
      </c>
      <c r="AB52" s="1">
        <v>2</v>
      </c>
      <c r="AC52" s="1">
        <v>3571</v>
      </c>
      <c r="AD52" s="1">
        <f t="shared" si="17"/>
        <v>18.569200000000002</v>
      </c>
      <c r="AE52" s="1">
        <f t="shared" si="8"/>
        <v>1.0262331255227923</v>
      </c>
      <c r="AF52" s="1">
        <f t="shared" si="18"/>
        <v>185.71428571428572</v>
      </c>
      <c r="AG52" s="1">
        <f t="shared" si="19"/>
        <v>119.03333333333333</v>
      </c>
    </row>
    <row r="53" spans="1:33">
      <c r="A53" s="1">
        <v>2025</v>
      </c>
      <c r="B53" s="1">
        <v>7</v>
      </c>
      <c r="C53" s="1" t="s">
        <v>11</v>
      </c>
      <c r="D53" s="1">
        <v>5</v>
      </c>
      <c r="E53" s="1">
        <v>68</v>
      </c>
      <c r="F53" s="1" t="s">
        <v>8</v>
      </c>
      <c r="G53" s="1">
        <v>15.27</v>
      </c>
      <c r="H53" s="1">
        <v>24.26</v>
      </c>
      <c r="I53" s="1">
        <v>18.39</v>
      </c>
      <c r="J53" s="1">
        <v>19.489999999999998</v>
      </c>
      <c r="K53" s="1">
        <v>26.28</v>
      </c>
      <c r="L53" s="1">
        <v>25.69</v>
      </c>
      <c r="M53" s="1">
        <v>0</v>
      </c>
      <c r="N53" s="1">
        <v>0</v>
      </c>
      <c r="O53" s="1">
        <f t="shared" si="9"/>
        <v>3.0681989623661696</v>
      </c>
      <c r="P53" s="1">
        <f t="shared" si="1"/>
        <v>3.9628356528539221</v>
      </c>
      <c r="Q53" s="1">
        <f t="shared" si="2"/>
        <v>0.89463669048775252</v>
      </c>
      <c r="R53" s="1">
        <v>100</v>
      </c>
      <c r="S53" s="1">
        <v>231</v>
      </c>
      <c r="T53" s="1">
        <v>46</v>
      </c>
      <c r="U53" s="1">
        <v>47</v>
      </c>
      <c r="V53" s="1">
        <v>68</v>
      </c>
      <c r="W53" s="1">
        <f t="shared" si="0"/>
        <v>161</v>
      </c>
      <c r="X53" s="1">
        <f t="shared" si="13"/>
        <v>2.31</v>
      </c>
      <c r="Y53" s="1">
        <v>3</v>
      </c>
      <c r="Z53" s="1">
        <f t="shared" si="7"/>
        <v>0.75703366548635065</v>
      </c>
      <c r="AA53" s="1">
        <v>0.46000000000000019</v>
      </c>
      <c r="AB53" s="1">
        <v>1</v>
      </c>
      <c r="AC53" s="1">
        <v>3571</v>
      </c>
      <c r="AD53" s="1">
        <f t="shared" si="17"/>
        <v>1.6426600000000007</v>
      </c>
      <c r="AE53" s="1">
        <f t="shared" si="8"/>
        <v>0.11607849537457381</v>
      </c>
      <c r="AF53" s="1">
        <f t="shared" si="18"/>
        <v>153.3333333333334</v>
      </c>
      <c r="AG53" s="1">
        <f t="shared" si="19"/>
        <v>59.516666666666666</v>
      </c>
    </row>
    <row r="54" spans="1:33">
      <c r="A54" s="1">
        <v>2025</v>
      </c>
      <c r="B54" s="1">
        <v>7</v>
      </c>
      <c r="C54" s="1" t="s">
        <v>11</v>
      </c>
      <c r="D54" s="1">
        <v>5</v>
      </c>
      <c r="E54" s="1">
        <v>69</v>
      </c>
      <c r="F54" s="1" t="s">
        <v>8</v>
      </c>
      <c r="G54" s="1">
        <v>17.62</v>
      </c>
      <c r="H54" s="1">
        <v>18.54</v>
      </c>
      <c r="I54" s="1">
        <v>23.2</v>
      </c>
      <c r="J54" s="1">
        <v>26.99</v>
      </c>
      <c r="K54" s="1">
        <v>24.44</v>
      </c>
      <c r="L54" s="1">
        <v>24.19</v>
      </c>
      <c r="M54" s="1">
        <v>0</v>
      </c>
      <c r="N54" s="1">
        <v>0</v>
      </c>
      <c r="O54" s="1">
        <f t="shared" si="9"/>
        <v>2.5673597819960357</v>
      </c>
      <c r="P54" s="1">
        <f t="shared" si="1"/>
        <v>4.7935757848846245</v>
      </c>
      <c r="Q54" s="1">
        <f t="shared" si="2"/>
        <v>2.2262160028885889</v>
      </c>
      <c r="R54" s="1">
        <v>162</v>
      </c>
      <c r="S54" s="1">
        <f>230+55</f>
        <v>285</v>
      </c>
      <c r="T54" s="1">
        <v>95</v>
      </c>
      <c r="U54" s="1">
        <v>53</v>
      </c>
      <c r="V54" s="1">
        <f>37+21+53</f>
        <v>111</v>
      </c>
      <c r="W54" s="1">
        <f t="shared" si="0"/>
        <v>259</v>
      </c>
      <c r="X54" s="1">
        <f t="shared" si="13"/>
        <v>4.617</v>
      </c>
    </row>
    <row r="55" spans="1:33">
      <c r="A55" s="1">
        <v>2025</v>
      </c>
      <c r="B55" s="1">
        <v>8</v>
      </c>
      <c r="C55" s="1" t="s">
        <v>11</v>
      </c>
      <c r="D55" s="1">
        <v>5</v>
      </c>
      <c r="E55" s="1">
        <v>72</v>
      </c>
      <c r="F55" s="1" t="s">
        <v>9</v>
      </c>
      <c r="G55" s="1">
        <v>28.23</v>
      </c>
      <c r="H55" s="1">
        <v>23.6</v>
      </c>
      <c r="I55" s="1">
        <v>32.92</v>
      </c>
      <c r="J55" s="1">
        <v>29.86</v>
      </c>
      <c r="K55" s="1">
        <v>25.18</v>
      </c>
      <c r="L55" s="1">
        <v>27</v>
      </c>
      <c r="M55" s="1">
        <v>0</v>
      </c>
      <c r="N55" s="1">
        <v>3</v>
      </c>
      <c r="O55" s="1">
        <f t="shared" si="9"/>
        <v>5.274633730761888</v>
      </c>
      <c r="P55" s="1">
        <f t="shared" si="1"/>
        <v>6.4872914402906616</v>
      </c>
      <c r="Q55" s="1">
        <f t="shared" si="2"/>
        <v>1.2126577095287736</v>
      </c>
      <c r="R55" s="1">
        <v>130</v>
      </c>
      <c r="S55" s="1">
        <v>306</v>
      </c>
      <c r="T55" s="1">
        <v>59</v>
      </c>
      <c r="U55" s="1">
        <f>18+38+52</f>
        <v>108</v>
      </c>
      <c r="V55" s="1">
        <v>75</v>
      </c>
      <c r="W55" s="1">
        <f t="shared" si="0"/>
        <v>242</v>
      </c>
      <c r="X55" s="1">
        <f t="shared" si="13"/>
        <v>3.9780000000000002</v>
      </c>
    </row>
    <row r="56" spans="1:33">
      <c r="A56" s="1">
        <v>2025</v>
      </c>
      <c r="B56" s="1">
        <v>8</v>
      </c>
      <c r="C56" s="1" t="s">
        <v>11</v>
      </c>
      <c r="D56" s="1">
        <v>5</v>
      </c>
      <c r="E56" s="1">
        <v>73</v>
      </c>
      <c r="F56" s="1" t="s">
        <v>9</v>
      </c>
      <c r="Y56" s="1">
        <v>45</v>
      </c>
      <c r="AA56" s="1">
        <v>5.0999999999999996</v>
      </c>
      <c r="AB56" s="1">
        <v>12</v>
      </c>
      <c r="AC56" s="1">
        <v>3571</v>
      </c>
      <c r="AD56" s="1">
        <f>(AA56*AC56)/1000</f>
        <v>18.2121</v>
      </c>
      <c r="AF56" s="1">
        <f>AA56/Y56*1000</f>
        <v>113.33333333333333</v>
      </c>
      <c r="AG56" s="1">
        <f>(AB56*AC56)/60</f>
        <v>714.2</v>
      </c>
    </row>
    <row r="57" spans="1:33">
      <c r="A57" s="1">
        <v>2025</v>
      </c>
      <c r="B57" s="1">
        <v>8</v>
      </c>
      <c r="C57" s="1" t="s">
        <v>11</v>
      </c>
      <c r="D57" s="1">
        <v>5</v>
      </c>
      <c r="E57" s="1">
        <v>74</v>
      </c>
      <c r="F57" s="1" t="s">
        <v>9</v>
      </c>
      <c r="G57" s="1">
        <v>33.72</v>
      </c>
      <c r="H57" s="1">
        <v>27.73</v>
      </c>
      <c r="I57" s="1">
        <v>40.49</v>
      </c>
      <c r="J57" s="1">
        <v>41.51</v>
      </c>
      <c r="K57" s="1">
        <v>29.81</v>
      </c>
      <c r="L57" s="1">
        <v>37.15</v>
      </c>
      <c r="M57" s="1">
        <v>0</v>
      </c>
      <c r="N57" s="1">
        <v>4</v>
      </c>
      <c r="O57" s="1">
        <f t="shared" si="9"/>
        <v>7.4143599207512834</v>
      </c>
      <c r="P57" s="1">
        <f t="shared" si="1"/>
        <v>10.892039960072571</v>
      </c>
      <c r="Q57" s="1">
        <f t="shared" si="2"/>
        <v>3.4776800393212879</v>
      </c>
      <c r="R57" s="1">
        <v>137</v>
      </c>
      <c r="S57" s="1">
        <v>343</v>
      </c>
      <c r="T57" s="1">
        <f>25+17+22+68</f>
        <v>132</v>
      </c>
      <c r="U57" s="1">
        <f>8+58+19</f>
        <v>85</v>
      </c>
      <c r="V57" s="1">
        <v>80</v>
      </c>
      <c r="W57" s="1">
        <f t="shared" si="0"/>
        <v>297</v>
      </c>
      <c r="X57" s="1">
        <f t="shared" si="13"/>
        <v>4.6990999999999996</v>
      </c>
      <c r="Y57" s="1">
        <v>37</v>
      </c>
      <c r="Z57" s="1">
        <f t="shared" si="7"/>
        <v>3.3969761528265159</v>
      </c>
      <c r="AA57" s="1">
        <v>6.78</v>
      </c>
      <c r="AB57" s="1">
        <v>3</v>
      </c>
      <c r="AC57" s="1">
        <v>3571</v>
      </c>
      <c r="AD57" s="1">
        <f>(AA57*AC57)/1000</f>
        <v>24.211380000000002</v>
      </c>
      <c r="AE57" s="1">
        <f t="shared" si="8"/>
        <v>0.62247292746388594</v>
      </c>
      <c r="AF57" s="1">
        <f>AA57/Y57*1000</f>
        <v>183.24324324324326</v>
      </c>
      <c r="AG57" s="1">
        <f>(AB57*AC57)/60</f>
        <v>178.55</v>
      </c>
    </row>
    <row r="58" spans="1:33">
      <c r="A58" s="1">
        <v>2025</v>
      </c>
      <c r="B58" s="1">
        <v>8</v>
      </c>
      <c r="C58" s="1" t="s">
        <v>11</v>
      </c>
      <c r="D58" s="1">
        <v>5</v>
      </c>
      <c r="E58" s="1">
        <v>76</v>
      </c>
      <c r="F58" s="1" t="s">
        <v>9</v>
      </c>
      <c r="G58" s="1">
        <v>29.03</v>
      </c>
      <c r="H58" s="1">
        <v>34.130000000000003</v>
      </c>
      <c r="I58" s="1">
        <v>32.21</v>
      </c>
      <c r="J58" s="1">
        <v>33.01</v>
      </c>
      <c r="K58" s="1">
        <v>36.89</v>
      </c>
      <c r="L58" s="1">
        <v>37.96</v>
      </c>
      <c r="M58" s="1">
        <v>0</v>
      </c>
      <c r="N58" s="1">
        <v>2</v>
      </c>
      <c r="O58" s="1">
        <f t="shared" si="9"/>
        <v>7.8327476092288713</v>
      </c>
      <c r="P58" s="1">
        <f t="shared" si="1"/>
        <v>9.6307510344022358</v>
      </c>
      <c r="Q58" s="1">
        <f t="shared" si="2"/>
        <v>1.7980034251733645</v>
      </c>
      <c r="R58" s="1">
        <v>112</v>
      </c>
      <c r="S58" s="1">
        <v>300</v>
      </c>
      <c r="T58" s="1">
        <v>53</v>
      </c>
      <c r="U58" s="1">
        <f>59+20+125+45</f>
        <v>249</v>
      </c>
      <c r="V58" s="1">
        <f>25+70+49</f>
        <v>144</v>
      </c>
      <c r="W58" s="1">
        <f t="shared" si="0"/>
        <v>446</v>
      </c>
      <c r="X58" s="1">
        <f t="shared" si="13"/>
        <v>3.36</v>
      </c>
      <c r="Y58" s="1">
        <v>40</v>
      </c>
      <c r="Z58" s="1">
        <f t="shared" si="7"/>
        <v>4.1533624799473108</v>
      </c>
      <c r="AA58" s="1">
        <v>7.2599999999999989</v>
      </c>
      <c r="AB58" s="1">
        <v>3</v>
      </c>
      <c r="AC58" s="1">
        <v>3571</v>
      </c>
      <c r="AD58" s="1">
        <f>(AA58*AC58)/1000</f>
        <v>25.925459999999994</v>
      </c>
      <c r="AE58" s="1">
        <f t="shared" si="8"/>
        <v>0.75383529011043682</v>
      </c>
      <c r="AF58" s="1">
        <f>AA58/Y58*1000</f>
        <v>181.49999999999997</v>
      </c>
      <c r="AG58" s="1">
        <f>(AB58*AC58)/60</f>
        <v>178.55</v>
      </c>
    </row>
    <row r="59" spans="1:33">
      <c r="A59" s="1">
        <v>2025</v>
      </c>
      <c r="B59" s="1">
        <v>8</v>
      </c>
      <c r="C59" s="1" t="s">
        <v>11</v>
      </c>
      <c r="D59" s="1">
        <v>5</v>
      </c>
      <c r="E59" s="1">
        <v>78</v>
      </c>
      <c r="F59" s="1" t="s">
        <v>9</v>
      </c>
      <c r="G59" s="1">
        <v>22.74</v>
      </c>
      <c r="H59" s="1">
        <v>27.95</v>
      </c>
      <c r="I59" s="1">
        <v>26.43</v>
      </c>
      <c r="J59" s="1">
        <v>28.63</v>
      </c>
      <c r="K59" s="1">
        <v>33.61</v>
      </c>
      <c r="L59" s="1">
        <v>30.83</v>
      </c>
      <c r="M59" s="1">
        <v>0</v>
      </c>
      <c r="N59" s="1">
        <v>3</v>
      </c>
      <c r="O59" s="1">
        <f t="shared" si="9"/>
        <v>5.0451545245840954</v>
      </c>
      <c r="P59" s="1">
        <f t="shared" si="1"/>
        <v>7.0098013267852561</v>
      </c>
      <c r="Q59" s="1">
        <f t="shared" si="2"/>
        <v>1.9646468022011607</v>
      </c>
      <c r="R59" s="1">
        <v>155</v>
      </c>
      <c r="S59" s="1">
        <v>323</v>
      </c>
      <c r="T59" s="1">
        <f>22+10+35+85+50</f>
        <v>202</v>
      </c>
      <c r="U59" s="1">
        <f>86+37</f>
        <v>123</v>
      </c>
      <c r="V59" s="1">
        <v>67</v>
      </c>
      <c r="W59" s="1">
        <f t="shared" si="0"/>
        <v>392</v>
      </c>
      <c r="X59" s="1">
        <f t="shared" si="13"/>
        <v>5.0065</v>
      </c>
    </row>
    <row r="60" spans="1:33">
      <c r="A60" s="1">
        <v>2025</v>
      </c>
      <c r="B60" s="1">
        <v>9</v>
      </c>
      <c r="C60" s="1" t="s">
        <v>11</v>
      </c>
      <c r="D60" s="1">
        <v>5</v>
      </c>
      <c r="E60" s="1">
        <v>82</v>
      </c>
      <c r="F60" s="1" t="s">
        <v>10</v>
      </c>
      <c r="G60" s="1">
        <v>24.2</v>
      </c>
      <c r="H60" s="1">
        <v>26.48</v>
      </c>
      <c r="I60" s="1">
        <v>29.51</v>
      </c>
      <c r="J60" s="1">
        <v>30.9</v>
      </c>
      <c r="K60" s="1">
        <v>30.98</v>
      </c>
      <c r="L60" s="1">
        <v>32.46</v>
      </c>
      <c r="M60" s="1">
        <v>0</v>
      </c>
      <c r="N60" s="1">
        <v>0</v>
      </c>
      <c r="O60" s="1">
        <f t="shared" si="9"/>
        <v>5.0431641292885043</v>
      </c>
      <c r="P60" s="1">
        <f t="shared" si="1"/>
        <v>7.5294268876121606</v>
      </c>
      <c r="Q60" s="1">
        <f t="shared" ref="Q60" si="20">(AVERAGE(J60:M60)/20)^2*PI()</f>
        <v>4.368794759007443</v>
      </c>
      <c r="R60" s="1">
        <f t="shared" ref="R60" si="21">(AVERAGE(K60:N60)/20)^2*PI()</f>
        <v>1.9755873986172874</v>
      </c>
      <c r="S60" s="1">
        <f t="shared" ref="S60" si="22">(AVERAGE(L60:O60)/20)^2*PI()</f>
        <v>0.69040784858796223</v>
      </c>
      <c r="T60" s="1">
        <f t="shared" ref="T60" si="23">(AVERAGE(M60:P60)/20)^2*PI()</f>
        <v>7.7592451834706741E-2</v>
      </c>
      <c r="U60" s="1">
        <f t="shared" ref="U60" si="24">(AVERAGE(N60:Q60)/20)^2*PI()</f>
        <v>0.14088597526430138</v>
      </c>
      <c r="V60" s="1">
        <f t="shared" ref="V60" si="25">(AVERAGE(O60:R60)/20)^2*PI()</f>
        <v>0.17566012792203389</v>
      </c>
      <c r="W60" s="1">
        <f t="shared" ref="W60" si="26">(AVERAGE(P60:S60)/20)^2*PI()</f>
        <v>0.1041224011064303</v>
      </c>
      <c r="X60" s="1">
        <f t="shared" ref="X60" si="27">(AVERAGE(Q60:T60)/20)^2*PI()</f>
        <v>2.4831336942208307E-2</v>
      </c>
    </row>
    <row r="61" spans="1:33">
      <c r="A61" s="1">
        <v>2025</v>
      </c>
      <c r="B61" s="1">
        <v>9</v>
      </c>
      <c r="C61" s="1" t="s">
        <v>11</v>
      </c>
      <c r="D61" s="1">
        <v>5</v>
      </c>
      <c r="E61" s="1">
        <v>83</v>
      </c>
      <c r="F61" s="1" t="s">
        <v>10</v>
      </c>
      <c r="I61" s="54">
        <v>35.450000000000003</v>
      </c>
      <c r="J61" s="54">
        <v>36.049999999999997</v>
      </c>
      <c r="K61" s="54">
        <v>20.76</v>
      </c>
      <c r="L61" s="54">
        <v>21.37</v>
      </c>
      <c r="P61" s="1">
        <f t="shared" si="1"/>
        <v>6.3380536646610004</v>
      </c>
      <c r="Y61" s="1">
        <v>53</v>
      </c>
      <c r="Z61" s="1">
        <f t="shared" si="7"/>
        <v>8.3621885840934702</v>
      </c>
      <c r="AA61" s="1">
        <v>10.040000000000001</v>
      </c>
      <c r="AB61" s="1">
        <v>2</v>
      </c>
      <c r="AC61" s="1">
        <v>3571</v>
      </c>
      <c r="AD61" s="1">
        <f>(AA61*AC61)/1000</f>
        <v>35.85284</v>
      </c>
      <c r="AE61" s="1">
        <f t="shared" si="8"/>
        <v>1.5840825166848764</v>
      </c>
      <c r="AF61" s="1">
        <f>AA61/Y61*1000</f>
        <v>189.43396226415095</v>
      </c>
      <c r="AG61" s="1">
        <f>(AB61*AC61)/60</f>
        <v>119.03333333333333</v>
      </c>
    </row>
    <row r="62" spans="1:33">
      <c r="A62" s="1">
        <v>2025</v>
      </c>
      <c r="B62" s="1">
        <v>9</v>
      </c>
      <c r="C62" s="1" t="s">
        <v>11</v>
      </c>
      <c r="D62" s="1">
        <v>5</v>
      </c>
      <c r="E62" s="1">
        <v>84</v>
      </c>
      <c r="F62" s="1" t="s">
        <v>10</v>
      </c>
      <c r="G62" s="1">
        <v>25.6</v>
      </c>
      <c r="H62" s="1">
        <v>20.100000000000001</v>
      </c>
      <c r="I62" s="1">
        <v>28.26</v>
      </c>
      <c r="J62" s="1">
        <v>29.84</v>
      </c>
      <c r="K62" s="1">
        <v>23.49</v>
      </c>
      <c r="L62" s="1">
        <v>23.26</v>
      </c>
      <c r="M62" s="1">
        <v>8</v>
      </c>
      <c r="N62" s="1">
        <v>2</v>
      </c>
      <c r="O62" s="1">
        <f t="shared" si="9"/>
        <v>4.1007405256848424</v>
      </c>
      <c r="P62" s="1">
        <f t="shared" si="1"/>
        <v>5.3964327379803292</v>
      </c>
      <c r="Q62" s="1">
        <f t="shared" si="2"/>
        <v>1.2956922122954868</v>
      </c>
      <c r="R62" s="1">
        <v>100</v>
      </c>
      <c r="S62" s="1">
        <v>276</v>
      </c>
      <c r="T62" s="1">
        <v>74</v>
      </c>
      <c r="U62" s="1">
        <v>57</v>
      </c>
      <c r="V62" s="1">
        <v>53</v>
      </c>
      <c r="W62" s="1">
        <f t="shared" si="0"/>
        <v>184</v>
      </c>
      <c r="X62" s="1">
        <f t="shared" si="13"/>
        <v>2.76</v>
      </c>
      <c r="Y62" s="1">
        <v>51</v>
      </c>
      <c r="Z62" s="1">
        <f t="shared" si="7"/>
        <v>9.4506876072149986</v>
      </c>
      <c r="AA62" s="1">
        <v>7.6000000000000005</v>
      </c>
      <c r="AB62" s="1">
        <v>2</v>
      </c>
      <c r="AC62" s="1">
        <v>3571</v>
      </c>
      <c r="AD62" s="1">
        <f>(AA62*AC62)/1000</f>
        <v>27.139600000000002</v>
      </c>
      <c r="AE62" s="1">
        <f t="shared" si="8"/>
        <v>1.4083377610751764</v>
      </c>
      <c r="AF62" s="1">
        <f>AA62/Y62*1000</f>
        <v>149.01960784313727</v>
      </c>
      <c r="AG62" s="1">
        <f>(AB62*AC62)/60</f>
        <v>119.03333333333333</v>
      </c>
    </row>
    <row r="63" spans="1:33">
      <c r="A63" s="1">
        <v>2025</v>
      </c>
      <c r="B63" s="1">
        <v>9</v>
      </c>
      <c r="C63" s="1" t="s">
        <v>11</v>
      </c>
      <c r="D63" s="1">
        <v>5</v>
      </c>
      <c r="E63" s="1">
        <v>85</v>
      </c>
      <c r="F63" s="1" t="s">
        <v>10</v>
      </c>
      <c r="G63" s="1">
        <v>34.42</v>
      </c>
      <c r="H63" s="1">
        <v>20.64</v>
      </c>
      <c r="I63" s="1">
        <v>40.54</v>
      </c>
      <c r="J63" s="1">
        <v>37.75</v>
      </c>
      <c r="K63" s="1">
        <v>25.65</v>
      </c>
      <c r="L63" s="1">
        <v>26.4</v>
      </c>
      <c r="M63" s="1">
        <v>4</v>
      </c>
      <c r="N63" s="1">
        <v>2</v>
      </c>
      <c r="O63" s="1">
        <f t="shared" si="9"/>
        <v>5.9525397489727316</v>
      </c>
      <c r="P63" s="1">
        <f t="shared" si="1"/>
        <v>8.3392180944305636</v>
      </c>
      <c r="Q63" s="1">
        <f t="shared" si="2"/>
        <v>2.386678345457832</v>
      </c>
      <c r="R63" s="1">
        <v>126</v>
      </c>
      <c r="S63" s="1">
        <v>295</v>
      </c>
      <c r="T63" s="1">
        <f>15+39+31+40+54</f>
        <v>179</v>
      </c>
      <c r="U63" s="1">
        <v>77</v>
      </c>
      <c r="V63" s="1">
        <v>117</v>
      </c>
      <c r="W63" s="1">
        <f t="shared" si="0"/>
        <v>373</v>
      </c>
      <c r="X63" s="1">
        <f t="shared" si="13"/>
        <v>3.7170000000000001</v>
      </c>
      <c r="Y63" s="1">
        <v>22</v>
      </c>
      <c r="Z63" s="1">
        <f t="shared" si="7"/>
        <v>2.6381370232651591</v>
      </c>
      <c r="AA63" s="1">
        <v>4.7399999999999993</v>
      </c>
      <c r="AB63" s="1">
        <v>2</v>
      </c>
      <c r="AC63" s="1">
        <v>3571</v>
      </c>
      <c r="AD63" s="1">
        <f>(AA63*AC63)/1000</f>
        <v>16.926539999999996</v>
      </c>
      <c r="AE63" s="1">
        <f t="shared" si="8"/>
        <v>0.56839861319440244</v>
      </c>
      <c r="AF63" s="1">
        <f>AA63/Y63*1000</f>
        <v>215.45454545454544</v>
      </c>
      <c r="AG63" s="1">
        <f>(AB63*AC63)/60</f>
        <v>119.03333333333333</v>
      </c>
    </row>
    <row r="64" spans="1:33">
      <c r="A64" s="1">
        <v>2025</v>
      </c>
      <c r="B64" s="1">
        <v>9</v>
      </c>
      <c r="C64" s="1" t="s">
        <v>11</v>
      </c>
      <c r="D64" s="1">
        <v>5</v>
      </c>
      <c r="E64" s="1">
        <v>86</v>
      </c>
      <c r="F64" s="1" t="s">
        <v>10</v>
      </c>
      <c r="G64" s="1">
        <v>20.75</v>
      </c>
      <c r="H64" s="1">
        <v>28.75</v>
      </c>
      <c r="I64" s="1">
        <v>25.68</v>
      </c>
      <c r="J64" s="1">
        <v>26.28</v>
      </c>
      <c r="K64" s="1">
        <v>36.24</v>
      </c>
      <c r="L64" s="1">
        <v>34.619999999999997</v>
      </c>
      <c r="M64" s="1">
        <v>4</v>
      </c>
      <c r="N64" s="1">
        <v>0</v>
      </c>
      <c r="O64" s="1">
        <f t="shared" si="9"/>
        <v>4.8110546246614945</v>
      </c>
      <c r="P64" s="1">
        <f t="shared" si="1"/>
        <v>7.4047105189157811</v>
      </c>
      <c r="Q64" s="1">
        <f t="shared" si="2"/>
        <v>2.5936558942542867</v>
      </c>
      <c r="R64" s="1">
        <v>183</v>
      </c>
      <c r="S64" s="1">
        <v>314</v>
      </c>
      <c r="T64" s="1">
        <f>20+67</f>
        <v>87</v>
      </c>
      <c r="U64" s="1">
        <f>61+18+31</f>
        <v>110</v>
      </c>
      <c r="V64" s="1">
        <v>84</v>
      </c>
      <c r="W64" s="1">
        <f t="shared" si="0"/>
        <v>281</v>
      </c>
      <c r="X64" s="1">
        <f t="shared" si="13"/>
        <v>5.7462</v>
      </c>
    </row>
    <row r="65" spans="1:33">
      <c r="A65" s="1">
        <v>2025</v>
      </c>
      <c r="B65" s="1">
        <v>10</v>
      </c>
      <c r="C65" s="1" t="s">
        <v>11</v>
      </c>
      <c r="D65" s="1">
        <v>5</v>
      </c>
      <c r="E65" s="1">
        <v>95</v>
      </c>
      <c r="F65" s="1" t="s">
        <v>7</v>
      </c>
      <c r="G65" s="1">
        <v>25.42</v>
      </c>
      <c r="H65" s="1">
        <v>18.5</v>
      </c>
      <c r="I65" s="1">
        <v>32.96</v>
      </c>
      <c r="J65" s="1">
        <v>32.590000000000003</v>
      </c>
      <c r="K65" s="1">
        <v>24.67</v>
      </c>
      <c r="L65" s="1">
        <v>24.3</v>
      </c>
      <c r="M65" s="1">
        <v>1</v>
      </c>
      <c r="N65" s="1">
        <v>0</v>
      </c>
      <c r="O65" s="1">
        <f t="shared" si="9"/>
        <v>3.7875166695384692</v>
      </c>
      <c r="P65" s="1">
        <f t="shared" si="1"/>
        <v>6.4377273183931409</v>
      </c>
      <c r="Q65" s="1">
        <f t="shared" si="2"/>
        <v>2.6502106488546717</v>
      </c>
      <c r="R65" s="1">
        <v>110</v>
      </c>
      <c r="S65" s="1">
        <v>266</v>
      </c>
      <c r="T65" s="1">
        <f>30+50+37+60</f>
        <v>177</v>
      </c>
      <c r="U65" s="1">
        <f>11+27+31+61+53</f>
        <v>183</v>
      </c>
      <c r="V65" s="1">
        <v>51</v>
      </c>
      <c r="W65" s="1">
        <f t="shared" si="0"/>
        <v>411</v>
      </c>
      <c r="X65" s="1">
        <f t="shared" si="13"/>
        <v>2.9260000000000002</v>
      </c>
      <c r="Y65" s="1">
        <v>63</v>
      </c>
      <c r="Z65" s="1">
        <f t="shared" si="7"/>
        <v>9.7860622055245461</v>
      </c>
      <c r="AA65" s="1">
        <v>11.16</v>
      </c>
      <c r="AB65" s="1">
        <v>3</v>
      </c>
      <c r="AC65" s="1">
        <v>3571</v>
      </c>
      <c r="AD65" s="1">
        <f>(AA65*AC65)/1000</f>
        <v>39.852359999999997</v>
      </c>
      <c r="AE65" s="1">
        <f t="shared" si="8"/>
        <v>1.733531019264348</v>
      </c>
      <c r="AF65" s="1">
        <f>AA65/Y65*1000</f>
        <v>177.14285714285717</v>
      </c>
      <c r="AG65" s="1">
        <f>(AB65*AC65)/60</f>
        <v>178.55</v>
      </c>
    </row>
    <row r="66" spans="1:33">
      <c r="A66" s="1">
        <v>2025</v>
      </c>
      <c r="B66" s="1">
        <v>10</v>
      </c>
      <c r="C66" s="1" t="s">
        <v>11</v>
      </c>
      <c r="D66" s="1">
        <v>5</v>
      </c>
      <c r="E66" s="1">
        <v>97</v>
      </c>
      <c r="F66" s="1" t="s">
        <v>7</v>
      </c>
      <c r="G66" s="1">
        <v>29.49</v>
      </c>
      <c r="H66" s="1">
        <v>20.74</v>
      </c>
      <c r="I66" s="1">
        <v>35.04</v>
      </c>
      <c r="J66" s="1">
        <v>33.33</v>
      </c>
      <c r="K66" s="1">
        <v>23.9</v>
      </c>
      <c r="L66" s="1">
        <v>25.2</v>
      </c>
      <c r="M66" s="1">
        <v>5</v>
      </c>
      <c r="N66" s="1">
        <v>0</v>
      </c>
      <c r="O66" s="1">
        <f t="shared" si="9"/>
        <v>4.954002784536514</v>
      </c>
      <c r="P66" s="1">
        <f t="shared" si="1"/>
        <v>6.7736669020077622</v>
      </c>
      <c r="Q66" s="1">
        <f t="shared" si="2"/>
        <v>1.8196641174712482</v>
      </c>
      <c r="R66" s="1">
        <v>140</v>
      </c>
      <c r="S66" s="1">
        <v>306</v>
      </c>
      <c r="T66" s="1">
        <f>11+7+58+60</f>
        <v>136</v>
      </c>
      <c r="U66" s="1">
        <f>12+58+32+5</f>
        <v>107</v>
      </c>
      <c r="V66" s="1">
        <v>55</v>
      </c>
      <c r="W66" s="1">
        <f t="shared" si="0"/>
        <v>298</v>
      </c>
      <c r="X66" s="1">
        <f t="shared" si="13"/>
        <v>4.2839999999999998</v>
      </c>
    </row>
    <row r="67" spans="1:33">
      <c r="A67" s="1">
        <v>2025</v>
      </c>
      <c r="B67" s="1">
        <v>10</v>
      </c>
      <c r="C67" s="1" t="s">
        <v>11</v>
      </c>
      <c r="D67" s="1">
        <v>5</v>
      </c>
      <c r="E67" s="1">
        <v>98</v>
      </c>
      <c r="F67" s="1" t="s">
        <v>7</v>
      </c>
      <c r="G67" s="1">
        <v>27.49</v>
      </c>
      <c r="H67" s="1">
        <v>21.5</v>
      </c>
      <c r="I67" s="1">
        <v>33.409999999999997</v>
      </c>
      <c r="J67" s="1">
        <v>30.4</v>
      </c>
      <c r="K67" s="1">
        <v>24.77</v>
      </c>
      <c r="L67" s="1">
        <v>25.51</v>
      </c>
      <c r="M67" s="1">
        <v>2</v>
      </c>
      <c r="N67" s="1">
        <v>2</v>
      </c>
      <c r="O67" s="1">
        <f t="shared" si="9"/>
        <v>4.7124284466423987</v>
      </c>
      <c r="P67" s="1">
        <f t="shared" si="1"/>
        <v>6.3894732897195494</v>
      </c>
      <c r="Q67" s="1">
        <f t="shared" si="2"/>
        <v>1.6770448430771507</v>
      </c>
      <c r="R67" s="1">
        <v>137</v>
      </c>
      <c r="S67" s="1">
        <v>295</v>
      </c>
      <c r="T67" s="1">
        <v>69</v>
      </c>
      <c r="U67" s="1">
        <v>87</v>
      </c>
      <c r="V67" s="1">
        <v>79</v>
      </c>
      <c r="W67" s="1">
        <f t="shared" si="0"/>
        <v>235</v>
      </c>
      <c r="X67" s="1">
        <f t="shared" si="13"/>
        <v>4.0415000000000001</v>
      </c>
      <c r="Y67" s="1">
        <v>59</v>
      </c>
      <c r="Z67" s="1">
        <f t="shared" si="7"/>
        <v>9.2339379671449677</v>
      </c>
      <c r="AA67" s="1">
        <v>11.38</v>
      </c>
      <c r="AB67" s="1">
        <v>3</v>
      </c>
      <c r="AC67" s="1">
        <v>3571</v>
      </c>
      <c r="AD67" s="1">
        <f t="shared" ref="AD67:AD74" si="28">(AA67*AC67)/1000</f>
        <v>40.637980000000006</v>
      </c>
      <c r="AE67" s="1">
        <f t="shared" si="8"/>
        <v>1.781054475696775</v>
      </c>
      <c r="AF67" s="1">
        <f t="shared" ref="AF67:AF74" si="29">AA67/Y67*1000</f>
        <v>192.88135593220341</v>
      </c>
      <c r="AG67" s="1">
        <f t="shared" ref="AG67:AG74" si="30">(AB67*AC67)/60</f>
        <v>178.55</v>
      </c>
    </row>
    <row r="68" spans="1:33">
      <c r="A68" s="1">
        <v>2025</v>
      </c>
      <c r="B68" s="1">
        <v>10</v>
      </c>
      <c r="C68" s="1" t="s">
        <v>11</v>
      </c>
      <c r="D68" s="1">
        <v>5</v>
      </c>
      <c r="E68" s="1">
        <v>99</v>
      </c>
      <c r="F68" s="1" t="s">
        <v>7</v>
      </c>
      <c r="G68" s="1">
        <v>21.99</v>
      </c>
      <c r="H68" s="1">
        <v>24.01</v>
      </c>
      <c r="I68" s="1">
        <v>24.42</v>
      </c>
      <c r="J68" s="1">
        <v>23.9</v>
      </c>
      <c r="K68" s="1">
        <v>29.15</v>
      </c>
      <c r="L68" s="1">
        <v>27.14</v>
      </c>
      <c r="M68" s="1">
        <v>3</v>
      </c>
      <c r="N68" s="1">
        <v>3</v>
      </c>
      <c r="O68" s="1">
        <f t="shared" si="9"/>
        <v>4.1547562843725006</v>
      </c>
      <c r="P68" s="1">
        <f t="shared" ref="P68:P131" si="31">(AVERAGE(I68:L68)/20)^2*PI()</f>
        <v>5.3717563130845436</v>
      </c>
      <c r="Q68" s="1">
        <f t="shared" ref="Q68:Q131" si="32">P68-O68</f>
        <v>1.217000028712043</v>
      </c>
      <c r="R68" s="1">
        <v>118</v>
      </c>
      <c r="S68" s="1">
        <v>287</v>
      </c>
      <c r="T68" s="1">
        <f>10+67+69</f>
        <v>146</v>
      </c>
      <c r="U68" s="1">
        <v>80</v>
      </c>
      <c r="V68" s="1">
        <v>65</v>
      </c>
      <c r="W68" s="1">
        <f t="shared" si="0"/>
        <v>291</v>
      </c>
      <c r="X68" s="1">
        <f>(100*R68*S68)/1000000</f>
        <v>3.3866000000000001</v>
      </c>
      <c r="Y68" s="1">
        <v>56</v>
      </c>
      <c r="Z68" s="1">
        <f t="shared" si="7"/>
        <v>10.424895832224369</v>
      </c>
      <c r="AA68" s="1">
        <v>9.48</v>
      </c>
      <c r="AB68" s="1">
        <v>4</v>
      </c>
      <c r="AC68" s="1">
        <v>3571</v>
      </c>
      <c r="AD68" s="1">
        <f t="shared" si="28"/>
        <v>33.853079999999999</v>
      </c>
      <c r="AE68" s="1">
        <f t="shared" si="8"/>
        <v>1.7647859373122683</v>
      </c>
      <c r="AF68" s="1">
        <f t="shared" si="29"/>
        <v>169.28571428571428</v>
      </c>
      <c r="AG68" s="1">
        <f t="shared" si="30"/>
        <v>238.06666666666666</v>
      </c>
    </row>
    <row r="69" spans="1:33">
      <c r="A69" s="1">
        <v>2025</v>
      </c>
      <c r="B69" s="1">
        <v>1</v>
      </c>
      <c r="C69" s="1" t="s">
        <v>12</v>
      </c>
      <c r="D69" s="1">
        <v>8</v>
      </c>
      <c r="E69" s="1">
        <v>3</v>
      </c>
      <c r="F69" s="1" t="s">
        <v>6</v>
      </c>
      <c r="G69" s="1">
        <v>33.44</v>
      </c>
      <c r="I69" s="1">
        <v>39.39</v>
      </c>
      <c r="J69" s="1">
        <v>44.1</v>
      </c>
      <c r="M69" s="1">
        <v>0</v>
      </c>
      <c r="N69" s="1">
        <v>3</v>
      </c>
      <c r="O69" s="1">
        <f t="shared" ref="O69:O132" si="33">(AVERAGE(G69,H69)/20)^2*PI()</f>
        <v>8.7825861568931671</v>
      </c>
      <c r="P69" s="1">
        <f t="shared" si="31"/>
        <v>13.686702020887004</v>
      </c>
      <c r="Q69" s="1">
        <f t="shared" si="32"/>
        <v>4.9041158639938374</v>
      </c>
      <c r="R69" s="1">
        <v>130</v>
      </c>
      <c r="S69" s="1">
        <v>296</v>
      </c>
      <c r="T69" s="1">
        <f>236+51+27+50+36+27+35+55+11+36+32+32+22+25+39+38+45+71+98</f>
        <v>966</v>
      </c>
      <c r="U69" s="1">
        <f>137+38+75</f>
        <v>250</v>
      </c>
      <c r="V69" s="1">
        <f>100+33+27+28+36+22+31+20</f>
        <v>297</v>
      </c>
      <c r="W69" s="1">
        <f t="shared" si="0"/>
        <v>1513</v>
      </c>
      <c r="X69" s="1">
        <f>(150*R69*S69)/1000000</f>
        <v>5.7720000000000002</v>
      </c>
      <c r="Y69" s="1">
        <v>26</v>
      </c>
      <c r="Z69" s="1">
        <f t="shared" ref="Z69:Z127" si="34">Y69/P69</f>
        <v>1.8996541285345379</v>
      </c>
      <c r="AA69" s="1">
        <v>4.8999999999999995</v>
      </c>
      <c r="AB69" s="1">
        <v>2</v>
      </c>
      <c r="AC69" s="1">
        <v>2667</v>
      </c>
      <c r="AD69" s="1">
        <f t="shared" si="28"/>
        <v>13.068299999999999</v>
      </c>
      <c r="AE69" s="1">
        <f t="shared" ref="AE69:AE127" si="35">AA69/P69</f>
        <v>0.35801173960843208</v>
      </c>
      <c r="AF69" s="1">
        <f t="shared" si="29"/>
        <v>188.46153846153842</v>
      </c>
      <c r="AG69" s="1">
        <f t="shared" si="30"/>
        <v>88.9</v>
      </c>
    </row>
    <row r="70" spans="1:33">
      <c r="A70" s="1">
        <v>2025</v>
      </c>
      <c r="B70" s="1">
        <v>1</v>
      </c>
      <c r="C70" s="1" t="s">
        <v>12</v>
      </c>
      <c r="D70" s="1">
        <v>8</v>
      </c>
      <c r="E70" s="1">
        <v>5</v>
      </c>
      <c r="F70" s="1" t="s">
        <v>6</v>
      </c>
      <c r="G70" s="1">
        <v>29.38</v>
      </c>
      <c r="I70" s="1">
        <v>33.29</v>
      </c>
      <c r="J70" s="1">
        <v>36.71</v>
      </c>
      <c r="M70" s="1">
        <v>2</v>
      </c>
      <c r="N70" s="1">
        <v>3</v>
      </c>
      <c r="O70" s="1">
        <f t="shared" si="33"/>
        <v>6.7794344243332825</v>
      </c>
      <c r="P70" s="1">
        <f t="shared" si="31"/>
        <v>9.6211275016187408</v>
      </c>
      <c r="Q70" s="1">
        <f t="shared" si="32"/>
        <v>2.8416930772854583</v>
      </c>
      <c r="R70" s="1">
        <v>109</v>
      </c>
      <c r="S70" s="1">
        <v>297</v>
      </c>
      <c r="T70" s="1">
        <f>205+35+17+16+52+71+24+42+17+20+13+41+39+55+28+40+15</f>
        <v>730</v>
      </c>
      <c r="U70" s="1">
        <f>75+60+25+10+18+33+41+15+22+10+23</f>
        <v>332</v>
      </c>
      <c r="V70" s="1">
        <f>147+15+46+59+60+41+25</f>
        <v>393</v>
      </c>
      <c r="W70" s="1">
        <f t="shared" si="0"/>
        <v>1455</v>
      </c>
      <c r="X70" s="1">
        <f t="shared" ref="X70:X99" si="36">(150*R70*S70)/1000000</f>
        <v>4.85595</v>
      </c>
      <c r="Y70" s="1">
        <v>30</v>
      </c>
      <c r="Z70" s="1">
        <f t="shared" si="34"/>
        <v>3.118137660575909</v>
      </c>
      <c r="AA70" s="1">
        <v>5.2799999999999994</v>
      </c>
      <c r="AB70" s="1">
        <v>2</v>
      </c>
      <c r="AC70" s="1">
        <v>2667</v>
      </c>
      <c r="AD70" s="1">
        <f t="shared" si="28"/>
        <v>14.081759999999999</v>
      </c>
      <c r="AE70" s="1">
        <f t="shared" si="35"/>
        <v>0.54879222826135987</v>
      </c>
      <c r="AF70" s="1">
        <f t="shared" si="29"/>
        <v>176</v>
      </c>
      <c r="AG70" s="1">
        <f t="shared" si="30"/>
        <v>88.9</v>
      </c>
    </row>
    <row r="71" spans="1:33">
      <c r="A71" s="1">
        <v>2025</v>
      </c>
      <c r="B71" s="1">
        <v>1</v>
      </c>
      <c r="C71" s="1" t="s">
        <v>12</v>
      </c>
      <c r="D71" s="1">
        <v>8</v>
      </c>
      <c r="E71" s="1">
        <v>6</v>
      </c>
      <c r="F71" s="1" t="s">
        <v>6</v>
      </c>
      <c r="G71" s="1">
        <v>38.630000000000003</v>
      </c>
      <c r="I71" s="1">
        <v>34.94</v>
      </c>
      <c r="J71" s="1">
        <v>44.9</v>
      </c>
      <c r="M71" s="1">
        <v>1</v>
      </c>
      <c r="N71" s="1">
        <v>3</v>
      </c>
      <c r="O71" s="1">
        <f t="shared" si="33"/>
        <v>11.72031536540438</v>
      </c>
      <c r="P71" s="1">
        <f t="shared" si="31"/>
        <v>12.516155397384193</v>
      </c>
      <c r="Q71" s="1">
        <f t="shared" si="32"/>
        <v>0.79584003197981268</v>
      </c>
      <c r="R71" s="1">
        <v>131</v>
      </c>
      <c r="S71" s="1">
        <f>43+219</f>
        <v>262</v>
      </c>
      <c r="T71" s="1">
        <f>69+30+24+46+37+33+23+67+33</f>
        <v>362</v>
      </c>
      <c r="U71" s="1">
        <f>114+32+12+25+15+10+13</f>
        <v>221</v>
      </c>
      <c r="V71" s="1">
        <f>90+70+29+28+30+12</f>
        <v>259</v>
      </c>
      <c r="W71" s="1">
        <f t="shared" si="0"/>
        <v>842</v>
      </c>
      <c r="X71" s="1">
        <f t="shared" si="36"/>
        <v>5.1482999999999999</v>
      </c>
      <c r="Y71" s="1">
        <v>27</v>
      </c>
      <c r="Z71" s="1">
        <f t="shared" si="34"/>
        <v>2.1572119506955669</v>
      </c>
      <c r="AA71" s="1">
        <v>4.0599999999999996</v>
      </c>
      <c r="AB71" s="1">
        <v>2</v>
      </c>
      <c r="AC71" s="1">
        <v>2667</v>
      </c>
      <c r="AD71" s="1">
        <f t="shared" si="28"/>
        <v>10.828019999999999</v>
      </c>
      <c r="AE71" s="1">
        <f t="shared" si="35"/>
        <v>0.32438075999348148</v>
      </c>
      <c r="AF71" s="1">
        <f t="shared" si="29"/>
        <v>150.37037037037035</v>
      </c>
      <c r="AG71" s="1">
        <f t="shared" si="30"/>
        <v>88.9</v>
      </c>
    </row>
    <row r="72" spans="1:33">
      <c r="A72" s="1">
        <v>2025</v>
      </c>
      <c r="B72" s="1">
        <v>2</v>
      </c>
      <c r="C72" s="1" t="s">
        <v>12</v>
      </c>
      <c r="D72" s="1">
        <v>8</v>
      </c>
      <c r="E72" s="1">
        <v>10</v>
      </c>
      <c r="F72" s="1" t="s">
        <v>7</v>
      </c>
      <c r="G72" s="1">
        <v>39.840000000000003</v>
      </c>
      <c r="I72" s="1">
        <v>45.9</v>
      </c>
      <c r="J72" s="1">
        <v>54.7</v>
      </c>
      <c r="M72" s="1">
        <v>4</v>
      </c>
      <c r="N72" s="1">
        <v>1</v>
      </c>
      <c r="O72" s="1">
        <f t="shared" si="33"/>
        <v>12.466040711374132</v>
      </c>
      <c r="P72" s="1">
        <f t="shared" si="31"/>
        <v>19.871280392302495</v>
      </c>
      <c r="Q72" s="1">
        <f t="shared" si="32"/>
        <v>7.4052396809283625</v>
      </c>
      <c r="R72" s="1">
        <v>137</v>
      </c>
      <c r="S72" s="1">
        <f>42+296</f>
        <v>338</v>
      </c>
      <c r="T72" s="1">
        <f>258+15+37+78+44+59+52+9+27+42+87+83+42+114+102+116</f>
        <v>1165</v>
      </c>
      <c r="U72" s="1">
        <f>191+55+53+57+44+58+78+29+153+47+54+35</f>
        <v>854</v>
      </c>
      <c r="V72" s="1">
        <f>196+40+14+13+56+29+59+38+51+112+110+45+68+44+63</f>
        <v>938</v>
      </c>
      <c r="W72" s="1">
        <f t="shared" si="0"/>
        <v>2957</v>
      </c>
      <c r="X72" s="1">
        <f t="shared" si="36"/>
        <v>6.9459</v>
      </c>
      <c r="Y72" s="1">
        <v>109</v>
      </c>
      <c r="Z72" s="1">
        <f t="shared" si="34"/>
        <v>5.4853033044726773</v>
      </c>
      <c r="AA72" s="1">
        <v>19.400000000000002</v>
      </c>
      <c r="AB72" s="1">
        <v>9</v>
      </c>
      <c r="AC72" s="1">
        <v>2667</v>
      </c>
      <c r="AD72" s="1">
        <f t="shared" si="28"/>
        <v>51.739800000000002</v>
      </c>
      <c r="AE72" s="1">
        <f t="shared" si="35"/>
        <v>0.97628334042908216</v>
      </c>
      <c r="AF72" s="1">
        <f t="shared" si="29"/>
        <v>177.9816513761468</v>
      </c>
      <c r="AG72" s="1">
        <f t="shared" si="30"/>
        <v>400.05</v>
      </c>
    </row>
    <row r="73" spans="1:33">
      <c r="A73" s="1">
        <v>2025</v>
      </c>
      <c r="B73" s="1">
        <v>2</v>
      </c>
      <c r="C73" s="1" t="s">
        <v>12</v>
      </c>
      <c r="D73" s="1">
        <v>8</v>
      </c>
      <c r="E73" s="1">
        <v>11</v>
      </c>
      <c r="F73" s="1" t="s">
        <v>7</v>
      </c>
      <c r="G73" s="1">
        <v>48.87</v>
      </c>
      <c r="I73" s="1">
        <v>53.21</v>
      </c>
      <c r="J73" s="1">
        <v>48.02</v>
      </c>
      <c r="M73" s="1">
        <v>1</v>
      </c>
      <c r="N73" s="1">
        <v>1</v>
      </c>
      <c r="O73" s="1">
        <f t="shared" si="33"/>
        <v>18.75748290944551</v>
      </c>
      <c r="P73" s="1">
        <f>(AVERAGE(I73:L73)/20)^2*PI()</f>
        <v>20.120944527629153</v>
      </c>
      <c r="Q73" s="1">
        <f t="shared" ref="Q73" si="37">(AVERAGE(J73:M73)/20)^2*PI()</f>
        <v>4.7182017121919948</v>
      </c>
      <c r="R73" s="1">
        <f t="shared" ref="R73" si="38">(AVERAGE(K73:N73)/20)^2*PI()</f>
        <v>7.8539816339744835E-3</v>
      </c>
      <c r="S73" s="1">
        <f t="shared" ref="S73" si="39">(AVERAGE(L73:O73)/20)^2*PI()</f>
        <v>0.37600770981529397</v>
      </c>
      <c r="T73" s="1">
        <f t="shared" ref="T73" si="40">(AVERAGE(M73:P73)/20)^2*PI()</f>
        <v>0.82027270351342285</v>
      </c>
      <c r="U73" s="1">
        <f t="shared" ref="U73" si="41">(AVERAGE(N73:Q73)/20)^2*PI()</f>
        <v>0.97627904137380361</v>
      </c>
      <c r="V73" s="1">
        <f t="shared" ref="V73" si="42">(AVERAGE(O73:R73)/20)^2*PI()</f>
        <v>0.93332346462958971</v>
      </c>
      <c r="W73" s="1">
        <f t="shared" ref="W73" si="43">(AVERAGE(P73:S73)/20)^2*PI()</f>
        <v>0.31229400809318136</v>
      </c>
      <c r="X73" s="1">
        <f t="shared" ref="X73" si="44">(AVERAGE(Q73:T73)/20)^2*PI()</f>
        <v>1.7216941379540066E-2</v>
      </c>
      <c r="Y73" s="1">
        <v>75</v>
      </c>
      <c r="Z73" s="1">
        <f t="shared" si="34"/>
        <v>3.7274592103275004</v>
      </c>
      <c r="AA73" s="1">
        <v>13.620000000000001</v>
      </c>
      <c r="AB73" s="1">
        <v>10</v>
      </c>
      <c r="AC73" s="1">
        <v>2667</v>
      </c>
      <c r="AD73" s="1">
        <f t="shared" si="28"/>
        <v>36.324539999999999</v>
      </c>
      <c r="AE73" s="1">
        <f t="shared" si="35"/>
        <v>0.67690659259547414</v>
      </c>
      <c r="AF73" s="1">
        <f t="shared" si="29"/>
        <v>181.60000000000002</v>
      </c>
      <c r="AG73" s="1">
        <f t="shared" si="30"/>
        <v>444.5</v>
      </c>
    </row>
    <row r="74" spans="1:33">
      <c r="A74" s="1">
        <v>2025</v>
      </c>
      <c r="B74" s="1">
        <v>2</v>
      </c>
      <c r="C74" s="1" t="s">
        <v>12</v>
      </c>
      <c r="D74" s="1">
        <v>8</v>
      </c>
      <c r="E74" s="1">
        <v>12</v>
      </c>
      <c r="F74" s="1" t="s">
        <v>7</v>
      </c>
      <c r="I74" s="1">
        <v>51.42</v>
      </c>
      <c r="J74" s="1">
        <v>43.36</v>
      </c>
      <c r="P74" s="1">
        <f>(AVERAGE(I74:L74)/20)^2*PI()</f>
        <v>17.638566986757663</v>
      </c>
      <c r="R74" s="1">
        <v>163</v>
      </c>
      <c r="S74" s="1">
        <v>325</v>
      </c>
      <c r="T74" s="1">
        <f>230+61+51+68+69+55+21+96+99+46+53+117+67+40+92+97+103</f>
        <v>1365</v>
      </c>
      <c r="U74" s="1">
        <f>130+129+69+62+72+138+51+41+37+45+51+132</f>
        <v>957</v>
      </c>
      <c r="V74" s="1">
        <f>195+44</f>
        <v>239</v>
      </c>
      <c r="W74" s="1">
        <f t="shared" ref="W74:W97" si="45">T74+U74+V74</f>
        <v>2561</v>
      </c>
      <c r="X74" s="1">
        <f t="shared" si="36"/>
        <v>7.94625</v>
      </c>
      <c r="Y74" s="1">
        <v>50</v>
      </c>
      <c r="Z74" s="1">
        <f t="shared" si="34"/>
        <v>2.8346974012989841</v>
      </c>
      <c r="AA74" s="1">
        <v>9.5400000000000009</v>
      </c>
      <c r="AB74" s="1">
        <v>5</v>
      </c>
      <c r="AC74" s="1">
        <v>2667</v>
      </c>
      <c r="AD74" s="1">
        <f t="shared" si="28"/>
        <v>25.443180000000005</v>
      </c>
      <c r="AF74" s="1">
        <f t="shared" si="29"/>
        <v>190.8</v>
      </c>
      <c r="AG74" s="1">
        <f t="shared" si="30"/>
        <v>222.25</v>
      </c>
    </row>
    <row r="75" spans="1:33">
      <c r="A75" s="1">
        <v>2025</v>
      </c>
      <c r="B75" s="1">
        <v>3</v>
      </c>
      <c r="C75" s="1" t="s">
        <v>12</v>
      </c>
      <c r="D75" s="1">
        <v>8</v>
      </c>
      <c r="E75" s="1">
        <v>15</v>
      </c>
      <c r="F75" s="1" t="s">
        <v>8</v>
      </c>
      <c r="G75" s="1">
        <v>23.03</v>
      </c>
      <c r="I75" s="1">
        <v>33.47</v>
      </c>
      <c r="J75" s="1">
        <v>34.68</v>
      </c>
      <c r="M75" s="1">
        <v>0</v>
      </c>
      <c r="N75" s="1">
        <v>2</v>
      </c>
      <c r="O75" s="1">
        <f t="shared" si="33"/>
        <v>4.1656018476108558</v>
      </c>
      <c r="P75" s="1">
        <f t="shared" si="31"/>
        <v>9.1193022538544639</v>
      </c>
      <c r="Q75" s="1">
        <f t="shared" si="32"/>
        <v>4.9537004062436081</v>
      </c>
      <c r="R75" s="1">
        <v>100</v>
      </c>
      <c r="S75" s="1">
        <v>326</v>
      </c>
      <c r="T75" s="1">
        <f>193+32+10+114</f>
        <v>349</v>
      </c>
      <c r="U75" s="1">
        <f>186+29+13+106</f>
        <v>334</v>
      </c>
      <c r="V75" s="1">
        <f>148+37+95</f>
        <v>280</v>
      </c>
      <c r="W75" s="1">
        <f t="shared" si="45"/>
        <v>963</v>
      </c>
      <c r="X75" s="1">
        <f t="shared" si="36"/>
        <v>4.8899999999999997</v>
      </c>
    </row>
    <row r="76" spans="1:33">
      <c r="A76" s="1">
        <v>2025</v>
      </c>
      <c r="B76" s="1">
        <v>3</v>
      </c>
      <c r="C76" s="1" t="s">
        <v>12</v>
      </c>
      <c r="D76" s="1">
        <v>8</v>
      </c>
      <c r="E76" s="1">
        <v>16</v>
      </c>
      <c r="F76" s="1" t="s">
        <v>8</v>
      </c>
      <c r="G76" s="1">
        <v>21.44</v>
      </c>
      <c r="I76" s="1">
        <v>34.9</v>
      </c>
      <c r="J76" s="1">
        <v>34.04</v>
      </c>
      <c r="M76" s="1">
        <v>0</v>
      </c>
      <c r="N76" s="1">
        <v>2</v>
      </c>
      <c r="O76" s="1">
        <f t="shared" si="33"/>
        <v>3.6102680120229333</v>
      </c>
      <c r="P76" s="1">
        <f t="shared" si="31"/>
        <v>9.3319509664392726</v>
      </c>
      <c r="Q76" s="1">
        <f t="shared" si="32"/>
        <v>5.7216829544163392</v>
      </c>
      <c r="R76" s="1">
        <v>107</v>
      </c>
      <c r="S76" s="1">
        <v>272</v>
      </c>
      <c r="T76" s="1">
        <f>232+50+49+107</f>
        <v>438</v>
      </c>
      <c r="U76" s="1">
        <f>162+47</f>
        <v>209</v>
      </c>
      <c r="V76" s="1">
        <f>246+51+15+13+19+68+17+112</f>
        <v>541</v>
      </c>
      <c r="W76" s="1">
        <f t="shared" si="45"/>
        <v>1188</v>
      </c>
      <c r="X76" s="1">
        <f t="shared" si="36"/>
        <v>4.3655999999999997</v>
      </c>
      <c r="Y76" s="1">
        <v>13</v>
      </c>
      <c r="Z76" s="1">
        <f t="shared" si="34"/>
        <v>1.3930634705167466</v>
      </c>
      <c r="AA76" s="1">
        <v>2.7</v>
      </c>
      <c r="AB76" s="1">
        <v>0.5</v>
      </c>
      <c r="AC76" s="1">
        <v>2667</v>
      </c>
      <c r="AD76" s="1">
        <f t="shared" ref="AD76:AD84" si="46">(AA76*AC76)/1000</f>
        <v>7.2009000000000007</v>
      </c>
      <c r="AE76" s="1">
        <f t="shared" si="35"/>
        <v>0.28932856695347814</v>
      </c>
      <c r="AF76" s="1">
        <f t="shared" ref="AF76:AF83" si="47">AA76/Y76*1000</f>
        <v>207.69230769230771</v>
      </c>
      <c r="AG76" s="1">
        <f t="shared" ref="AG76:AG83" si="48">(AB76*AC76)/60</f>
        <v>22.225000000000001</v>
      </c>
    </row>
    <row r="77" spans="1:33">
      <c r="A77" s="1">
        <v>2025</v>
      </c>
      <c r="B77" s="1">
        <v>3</v>
      </c>
      <c r="C77" s="1" t="s">
        <v>12</v>
      </c>
      <c r="D77" s="1">
        <v>8</v>
      </c>
      <c r="E77" s="1">
        <v>17</v>
      </c>
      <c r="F77" s="1" t="s">
        <v>8</v>
      </c>
      <c r="G77" s="1">
        <v>27.47</v>
      </c>
      <c r="I77" s="1">
        <v>36.72</v>
      </c>
      <c r="J77" s="1">
        <v>37.35</v>
      </c>
      <c r="M77" s="1">
        <v>3</v>
      </c>
      <c r="N77" s="1">
        <v>1</v>
      </c>
      <c r="O77" s="1">
        <f t="shared" si="33"/>
        <v>5.9266216095806152</v>
      </c>
      <c r="P77" s="1">
        <f t="shared" si="31"/>
        <v>10.772452290470561</v>
      </c>
      <c r="Q77" s="1">
        <f t="shared" ref="Q77" si="49">(AVERAGE(J77:M77)/20)^2*PI()</f>
        <v>3.1968110532151557</v>
      </c>
      <c r="R77" s="1">
        <f t="shared" ref="R77" si="50">(AVERAGE(K77:N77)/20)^2*PI()</f>
        <v>3.1415926535897934E-2</v>
      </c>
      <c r="S77" s="1">
        <f t="shared" ref="S77" si="51">(AVERAGE(L77:O77)/20)^2*PI()</f>
        <v>8.5990466852182132E-2</v>
      </c>
      <c r="T77" s="1">
        <f t="shared" ref="T77" si="52">(AVERAGE(M77:P77)/20)^2*PI()</f>
        <v>0.21031571694983903</v>
      </c>
      <c r="U77" s="1">
        <f t="shared" ref="U77" si="53">(AVERAGE(N77:Q77)/20)^2*PI()</f>
        <v>0.21433418096070256</v>
      </c>
      <c r="V77" s="1">
        <f t="shared" ref="V77" si="54">(AVERAGE(O77:R77)/20)^2*PI()</f>
        <v>0.19492469131013174</v>
      </c>
      <c r="W77" s="1">
        <f t="shared" ref="W77" si="55">(AVERAGE(P77:S77)/20)^2*PI()</f>
        <v>9.7406191701080086E-2</v>
      </c>
      <c r="X77" s="1">
        <f t="shared" ref="X77" si="56">(AVERAGE(Q77:T77)/20)^2*PI()</f>
        <v>6.0977989532447537E-3</v>
      </c>
      <c r="Y77" s="1">
        <v>37</v>
      </c>
      <c r="Z77" s="1">
        <f t="shared" si="34"/>
        <v>3.4346868291754364</v>
      </c>
      <c r="AA77" s="1">
        <v>6.08</v>
      </c>
      <c r="AB77" s="1">
        <v>2</v>
      </c>
      <c r="AC77" s="1">
        <v>2667</v>
      </c>
      <c r="AD77" s="1">
        <f t="shared" si="46"/>
        <v>16.21536</v>
      </c>
      <c r="AE77" s="1">
        <f t="shared" si="35"/>
        <v>0.56440259246990954</v>
      </c>
      <c r="AF77" s="1">
        <f t="shared" si="47"/>
        <v>164.32432432432435</v>
      </c>
      <c r="AG77" s="1">
        <f t="shared" si="48"/>
        <v>88.9</v>
      </c>
    </row>
    <row r="78" spans="1:33">
      <c r="A78" s="1">
        <v>2025</v>
      </c>
      <c r="B78" s="1">
        <v>3</v>
      </c>
      <c r="C78" s="1" t="s">
        <v>12</v>
      </c>
      <c r="D78" s="1">
        <v>8</v>
      </c>
      <c r="E78" s="1">
        <v>18</v>
      </c>
      <c r="F78" s="1" t="s">
        <v>8</v>
      </c>
      <c r="I78" s="54">
        <v>40.06</v>
      </c>
      <c r="J78" s="54">
        <v>35.94</v>
      </c>
      <c r="P78" s="1">
        <f t="shared" si="31"/>
        <v>11.341149479459153</v>
      </c>
      <c r="Y78" s="1">
        <v>15</v>
      </c>
      <c r="Z78" s="1">
        <f t="shared" si="34"/>
        <v>1.3226172556113187</v>
      </c>
      <c r="AA78" s="1">
        <v>2.0599999999999996</v>
      </c>
      <c r="AB78" s="1">
        <v>2</v>
      </c>
      <c r="AC78" s="1">
        <v>2667</v>
      </c>
      <c r="AD78" s="1">
        <f t="shared" si="46"/>
        <v>5.494019999999999</v>
      </c>
      <c r="AE78" s="1">
        <f t="shared" si="35"/>
        <v>0.18163943643728772</v>
      </c>
      <c r="AF78" s="1">
        <f t="shared" si="47"/>
        <v>137.33333333333331</v>
      </c>
      <c r="AG78" s="1">
        <f t="shared" si="48"/>
        <v>88.9</v>
      </c>
    </row>
    <row r="79" spans="1:33">
      <c r="A79" s="1">
        <v>2025</v>
      </c>
      <c r="B79" s="1">
        <v>4</v>
      </c>
      <c r="C79" s="1" t="s">
        <v>12</v>
      </c>
      <c r="D79" s="1">
        <v>8</v>
      </c>
      <c r="E79" s="1">
        <v>24</v>
      </c>
      <c r="F79" s="1" t="s">
        <v>6</v>
      </c>
      <c r="G79" s="1">
        <v>32.24</v>
      </c>
      <c r="I79" s="1">
        <v>36.450000000000003</v>
      </c>
      <c r="J79" s="1">
        <v>34.58</v>
      </c>
      <c r="M79" s="1">
        <v>6</v>
      </c>
      <c r="N79" s="1">
        <v>3</v>
      </c>
      <c r="O79" s="1">
        <f t="shared" si="33"/>
        <v>8.163566740429836</v>
      </c>
      <c r="P79" s="1">
        <f t="shared" si="31"/>
        <v>9.9063466118023911</v>
      </c>
      <c r="Q79" s="1">
        <f t="shared" si="32"/>
        <v>1.7427798713725551</v>
      </c>
      <c r="R79" s="1">
        <v>100</v>
      </c>
      <c r="S79" s="1">
        <v>286</v>
      </c>
      <c r="T79" s="1">
        <f>248+40+47+58+59+25+13+30+22+35+45+46+37+46+85+28</f>
        <v>864</v>
      </c>
      <c r="U79" s="1">
        <f>240+35+60+23+25+44+37+40+43+31+50+61+39+35+5+33+32+19+28+105</f>
        <v>985</v>
      </c>
      <c r="V79" s="1">
        <f>89+19+5+43</f>
        <v>156</v>
      </c>
      <c r="W79" s="1">
        <f t="shared" si="45"/>
        <v>2005</v>
      </c>
      <c r="X79" s="1">
        <f t="shared" si="36"/>
        <v>4.29</v>
      </c>
      <c r="Y79" s="1">
        <v>72</v>
      </c>
      <c r="Z79" s="1">
        <f t="shared" si="34"/>
        <v>7.268067918622938</v>
      </c>
      <c r="AA79" s="1">
        <v>13.040000000000001</v>
      </c>
      <c r="AB79" s="1">
        <v>3</v>
      </c>
      <c r="AC79" s="1">
        <v>2667</v>
      </c>
      <c r="AD79" s="1">
        <f t="shared" si="46"/>
        <v>34.777680000000004</v>
      </c>
      <c r="AE79" s="1">
        <f t="shared" si="35"/>
        <v>1.3163278563728211</v>
      </c>
      <c r="AF79" s="1">
        <f t="shared" si="47"/>
        <v>181.11111111111111</v>
      </c>
      <c r="AG79" s="1">
        <f t="shared" si="48"/>
        <v>133.35</v>
      </c>
    </row>
    <row r="80" spans="1:33">
      <c r="A80" s="1">
        <v>2025</v>
      </c>
      <c r="B80" s="1">
        <v>4</v>
      </c>
      <c r="C80" s="1" t="s">
        <v>12</v>
      </c>
      <c r="D80" s="1">
        <v>8</v>
      </c>
      <c r="E80" s="1">
        <v>25</v>
      </c>
      <c r="F80" s="1" t="s">
        <v>6</v>
      </c>
      <c r="G80" s="1">
        <v>28.75</v>
      </c>
      <c r="I80" s="1">
        <v>30.05</v>
      </c>
      <c r="J80" s="1">
        <v>32.590000000000003</v>
      </c>
      <c r="M80" s="1">
        <v>4</v>
      </c>
      <c r="N80" s="1">
        <v>6</v>
      </c>
      <c r="O80" s="1">
        <f t="shared" si="33"/>
        <v>6.4918066943320332</v>
      </c>
      <c r="P80" s="1">
        <f t="shared" si="31"/>
        <v>7.7043035935868502</v>
      </c>
      <c r="Q80" s="1">
        <f t="shared" si="32"/>
        <v>1.2124968992548171</v>
      </c>
      <c r="R80" s="1">
        <v>99</v>
      </c>
      <c r="S80" s="1">
        <f>215+45</f>
        <v>260</v>
      </c>
      <c r="T80" s="1">
        <f>73+21+27</f>
        <v>121</v>
      </c>
      <c r="U80" s="1">
        <f>83+83+23+36+89+43+10+37+31+26</f>
        <v>461</v>
      </c>
      <c r="V80" s="1">
        <f>136+43+11+12+15+11+39+20+38+42+56+51+42+58</f>
        <v>574</v>
      </c>
      <c r="W80" s="1">
        <f t="shared" si="45"/>
        <v>1156</v>
      </c>
      <c r="X80" s="1">
        <f t="shared" si="36"/>
        <v>3.8610000000000002</v>
      </c>
      <c r="Y80" s="1">
        <v>45</v>
      </c>
      <c r="Z80" s="1">
        <f t="shared" si="34"/>
        <v>5.8408913217618412</v>
      </c>
      <c r="AA80" s="1">
        <v>7.8199999999999994</v>
      </c>
      <c r="AB80" s="1">
        <v>5</v>
      </c>
      <c r="AC80" s="1">
        <v>2667</v>
      </c>
      <c r="AD80" s="1">
        <f t="shared" si="46"/>
        <v>20.85594</v>
      </c>
      <c r="AE80" s="1">
        <f t="shared" si="35"/>
        <v>1.0150171141372799</v>
      </c>
      <c r="AF80" s="1">
        <f t="shared" si="47"/>
        <v>173.77777777777774</v>
      </c>
      <c r="AG80" s="1">
        <f t="shared" si="48"/>
        <v>222.25</v>
      </c>
    </row>
    <row r="81" spans="1:33">
      <c r="A81" s="1">
        <v>2025</v>
      </c>
      <c r="B81" s="1">
        <v>4</v>
      </c>
      <c r="C81" s="1" t="s">
        <v>12</v>
      </c>
      <c r="D81" s="1">
        <v>8</v>
      </c>
      <c r="E81" s="1">
        <v>26</v>
      </c>
      <c r="F81" s="1" t="s">
        <v>6</v>
      </c>
      <c r="G81" s="1">
        <v>29.85</v>
      </c>
      <c r="I81" s="1">
        <v>30.15</v>
      </c>
      <c r="J81" s="1">
        <v>32.14</v>
      </c>
      <c r="M81" s="1">
        <v>6</v>
      </c>
      <c r="N81" s="1">
        <v>3</v>
      </c>
      <c r="O81" s="1">
        <f t="shared" si="33"/>
        <v>6.9980743504580305</v>
      </c>
      <c r="P81" s="1">
        <f t="shared" si="31"/>
        <v>7.6184487751027623</v>
      </c>
      <c r="Q81" s="1">
        <f t="shared" si="32"/>
        <v>0.6203744246447318</v>
      </c>
      <c r="R81" s="1">
        <v>51</v>
      </c>
      <c r="S81" s="1">
        <f>115+142</f>
        <v>257</v>
      </c>
      <c r="T81" s="1">
        <f>84+38</f>
        <v>122</v>
      </c>
      <c r="U81" s="1">
        <f>50+143+10+19+31+30+9+35</f>
        <v>327</v>
      </c>
      <c r="V81" s="1">
        <f>145+83+12+23+12+11+23</f>
        <v>309</v>
      </c>
      <c r="W81" s="1">
        <f t="shared" si="45"/>
        <v>758</v>
      </c>
      <c r="X81" s="1">
        <f t="shared" si="36"/>
        <v>1.9660500000000001</v>
      </c>
      <c r="Y81" s="1">
        <v>58</v>
      </c>
      <c r="Z81" s="1">
        <f t="shared" si="34"/>
        <v>7.613098376344686</v>
      </c>
      <c r="AA81" s="1">
        <v>9.5</v>
      </c>
      <c r="AB81" s="1">
        <v>4</v>
      </c>
      <c r="AC81" s="1">
        <v>2667</v>
      </c>
      <c r="AD81" s="1">
        <f t="shared" si="46"/>
        <v>25.336500000000001</v>
      </c>
      <c r="AE81" s="1">
        <f t="shared" si="35"/>
        <v>1.2469730099185261</v>
      </c>
      <c r="AF81" s="1">
        <f t="shared" si="47"/>
        <v>163.79310344827584</v>
      </c>
      <c r="AG81" s="1">
        <f t="shared" si="48"/>
        <v>177.8</v>
      </c>
    </row>
    <row r="82" spans="1:33">
      <c r="A82" s="1">
        <v>2025</v>
      </c>
      <c r="B82" s="1">
        <v>5</v>
      </c>
      <c r="C82" s="1" t="s">
        <v>12</v>
      </c>
      <c r="D82" s="1">
        <v>8</v>
      </c>
      <c r="E82" s="1">
        <v>31</v>
      </c>
      <c r="F82" s="1" t="s">
        <v>9</v>
      </c>
      <c r="G82" s="1">
        <v>40.97</v>
      </c>
      <c r="I82" s="1">
        <v>48.97</v>
      </c>
      <c r="J82" s="1">
        <v>32.130000000000003</v>
      </c>
      <c r="M82" s="1">
        <v>0</v>
      </c>
      <c r="N82" s="1">
        <v>1</v>
      </c>
      <c r="O82" s="1">
        <f t="shared" si="33"/>
        <v>13.183229400474998</v>
      </c>
      <c r="P82" s="1">
        <f t="shared" si="31"/>
        <v>12.914321635698325</v>
      </c>
      <c r="Q82" s="54"/>
      <c r="R82" s="1">
        <v>148</v>
      </c>
      <c r="S82" s="1">
        <f>46+296</f>
        <v>342</v>
      </c>
      <c r="T82" s="1">
        <f>238+15+30+19+18+19+20+33+42+23+56+102+104</f>
        <v>719</v>
      </c>
      <c r="U82" s="1">
        <f>228+56+40+60+28+17+34+47+25+97+70+78+39+64+44+10+32+33+44+31+49+98</f>
        <v>1224</v>
      </c>
      <c r="V82" s="1">
        <f>179+72+10+26+17+70+72</f>
        <v>446</v>
      </c>
      <c r="W82" s="1">
        <f t="shared" si="45"/>
        <v>2389</v>
      </c>
      <c r="X82" s="1">
        <f t="shared" si="36"/>
        <v>7.5923999999999996</v>
      </c>
      <c r="Y82" s="1">
        <v>108</v>
      </c>
      <c r="Z82" s="1">
        <f t="shared" si="34"/>
        <v>8.3628085970432817</v>
      </c>
      <c r="AA82" s="1">
        <v>16.739999999999998</v>
      </c>
      <c r="AB82" s="1">
        <v>5</v>
      </c>
      <c r="AC82" s="1">
        <v>2667</v>
      </c>
      <c r="AD82" s="1">
        <f t="shared" si="46"/>
        <v>44.645579999999995</v>
      </c>
      <c r="AE82" s="1">
        <f t="shared" si="35"/>
        <v>1.2962353325417084</v>
      </c>
      <c r="AF82" s="1">
        <f t="shared" si="47"/>
        <v>155</v>
      </c>
      <c r="AG82" s="1">
        <f t="shared" si="48"/>
        <v>222.25</v>
      </c>
    </row>
    <row r="83" spans="1:33">
      <c r="A83" s="1">
        <v>2025</v>
      </c>
      <c r="B83" s="1">
        <v>5</v>
      </c>
      <c r="C83" s="1" t="s">
        <v>12</v>
      </c>
      <c r="D83" s="1">
        <v>8</v>
      </c>
      <c r="E83" s="1">
        <v>32</v>
      </c>
      <c r="F83" s="1" t="s">
        <v>9</v>
      </c>
      <c r="G83" s="1">
        <v>41.41</v>
      </c>
      <c r="I83" s="1">
        <v>46.04</v>
      </c>
      <c r="J83" s="1">
        <v>54.87</v>
      </c>
      <c r="M83" s="1">
        <v>1</v>
      </c>
      <c r="N83" s="1">
        <v>1</v>
      </c>
      <c r="O83" s="1">
        <f t="shared" si="33"/>
        <v>13.467914243558001</v>
      </c>
      <c r="P83" s="1">
        <f t="shared" si="31"/>
        <v>19.993936219829816</v>
      </c>
      <c r="Q83" s="1">
        <f t="shared" si="32"/>
        <v>6.5260219762718155</v>
      </c>
      <c r="R83" s="1">
        <v>137</v>
      </c>
      <c r="S83" s="1">
        <v>336</v>
      </c>
      <c r="T83" s="1">
        <f>98+102+110+47+55+72+113+15+42+118+67+60+58+47+63+29</f>
        <v>1096</v>
      </c>
      <c r="U83" s="1">
        <f>270+35+51+49+58+53+52+36+98+66+138+84</f>
        <v>990</v>
      </c>
      <c r="V83" s="1">
        <f>195+36+62+26+15+85</f>
        <v>419</v>
      </c>
      <c r="W83" s="1">
        <f t="shared" si="45"/>
        <v>2505</v>
      </c>
      <c r="X83" s="1">
        <f t="shared" si="36"/>
        <v>6.9047999999999998</v>
      </c>
      <c r="Y83" s="1">
        <v>38</v>
      </c>
      <c r="Z83" s="1">
        <f t="shared" si="34"/>
        <v>1.9005762338239292</v>
      </c>
      <c r="AA83" s="1">
        <v>6.3199999999999994</v>
      </c>
      <c r="AB83" s="1">
        <v>4</v>
      </c>
      <c r="AC83" s="1">
        <v>2667</v>
      </c>
      <c r="AD83" s="1">
        <f t="shared" si="46"/>
        <v>16.855439999999998</v>
      </c>
      <c r="AE83" s="1">
        <f t="shared" si="35"/>
        <v>0.31609583678334818</v>
      </c>
      <c r="AF83" s="1">
        <f t="shared" si="47"/>
        <v>166.31578947368419</v>
      </c>
      <c r="AG83" s="1">
        <f t="shared" si="48"/>
        <v>177.8</v>
      </c>
    </row>
    <row r="84" spans="1:33">
      <c r="A84" s="1">
        <v>2025</v>
      </c>
      <c r="B84" s="1">
        <v>5</v>
      </c>
      <c r="C84" s="1" t="s">
        <v>12</v>
      </c>
      <c r="D84" s="1">
        <v>8</v>
      </c>
      <c r="E84" s="1">
        <v>33</v>
      </c>
      <c r="F84" s="1" t="s">
        <v>9</v>
      </c>
      <c r="G84" s="1">
        <v>31.89</v>
      </c>
      <c r="I84" s="1">
        <v>39.159999999999997</v>
      </c>
      <c r="J84" s="1">
        <v>47.15</v>
      </c>
      <c r="M84" s="1">
        <v>0</v>
      </c>
      <c r="N84" s="1">
        <v>2</v>
      </c>
      <c r="O84" s="1">
        <f t="shared" si="33"/>
        <v>7.9872801956644617</v>
      </c>
      <c r="P84" s="1">
        <f t="shared" si="31"/>
        <v>14.626894308308456</v>
      </c>
      <c r="Q84" s="1">
        <f t="shared" si="32"/>
        <v>6.6396141126439945</v>
      </c>
      <c r="R84" s="1">
        <v>124</v>
      </c>
      <c r="S84" s="1">
        <v>337</v>
      </c>
      <c r="T84" s="1">
        <f>259+15+12+59+58+42+53+14+25+38+43+42+41+86</f>
        <v>787</v>
      </c>
      <c r="U84" s="1">
        <f>68+65+11+67+37</f>
        <v>248</v>
      </c>
      <c r="V84" s="1">
        <f>155+35+56+24+26+26+57+47+17+70+52+56+26+90+44+56+33+52+63+93+17+19+22+35+33+41</f>
        <v>1245</v>
      </c>
      <c r="W84" s="1">
        <f t="shared" si="45"/>
        <v>2280</v>
      </c>
      <c r="X84" s="1">
        <f t="shared" si="36"/>
        <v>6.2682000000000002</v>
      </c>
      <c r="Y84" s="1">
        <v>54</v>
      </c>
      <c r="Z84" s="1">
        <f t="shared" si="34"/>
        <v>3.6918295067823519</v>
      </c>
      <c r="AA84" s="1">
        <v>8.7000000000000011</v>
      </c>
      <c r="AB84" s="1">
        <v>3</v>
      </c>
      <c r="AC84" s="1">
        <v>2667</v>
      </c>
      <c r="AD84" s="1">
        <f t="shared" si="46"/>
        <v>23.202900000000003</v>
      </c>
      <c r="AE84" s="1">
        <f t="shared" si="35"/>
        <v>0.59479475387049008</v>
      </c>
      <c r="AF84" s="1">
        <f t="shared" ref="AF84:AF96" si="57">AA84/Y84*1000</f>
        <v>161.11111111111111</v>
      </c>
      <c r="AG84" s="1">
        <f t="shared" ref="AG84:AG96" si="58">(AB84*AC84)/60</f>
        <v>133.35</v>
      </c>
    </row>
    <row r="85" spans="1:33">
      <c r="A85" s="1">
        <v>2025</v>
      </c>
      <c r="B85" s="1">
        <v>6</v>
      </c>
      <c r="C85" s="1" t="s">
        <v>12</v>
      </c>
      <c r="D85" s="1">
        <v>8</v>
      </c>
      <c r="E85" s="1">
        <v>38</v>
      </c>
      <c r="F85" s="1" t="s">
        <v>10</v>
      </c>
      <c r="G85" s="1">
        <v>35.15</v>
      </c>
      <c r="I85" s="1">
        <v>38.82</v>
      </c>
      <c r="J85" s="1">
        <v>40.98</v>
      </c>
      <c r="M85" s="1">
        <v>0</v>
      </c>
      <c r="N85" s="1">
        <v>1</v>
      </c>
      <c r="O85" s="1">
        <f t="shared" si="33"/>
        <v>9.7037710233622363</v>
      </c>
      <c r="P85" s="1">
        <f t="shared" si="31"/>
        <v>12.503617301103715</v>
      </c>
      <c r="Q85" s="1">
        <f t="shared" si="32"/>
        <v>2.7998462777414783</v>
      </c>
      <c r="R85" s="1">
        <v>110</v>
      </c>
      <c r="S85" s="1">
        <v>264</v>
      </c>
      <c r="T85" s="1">
        <f>210+19+28+25+46+48+55+51+42+42+13+58+53+123</f>
        <v>813</v>
      </c>
      <c r="U85" s="1">
        <f>170+8+31+34+20+37+40+54</f>
        <v>394</v>
      </c>
      <c r="V85" s="1">
        <f>202+57+45+108+10+58+12+66+24+12+21+25+39+47+80</f>
        <v>806</v>
      </c>
      <c r="W85" s="1">
        <f t="shared" si="45"/>
        <v>2013</v>
      </c>
      <c r="X85" s="1">
        <f t="shared" si="36"/>
        <v>4.3559999999999999</v>
      </c>
      <c r="Y85" s="1">
        <v>97</v>
      </c>
      <c r="Z85" s="1">
        <f t="shared" si="34"/>
        <v>7.7577550291336612</v>
      </c>
      <c r="AA85" s="1">
        <v>15.56</v>
      </c>
      <c r="AB85" s="1">
        <v>4</v>
      </c>
      <c r="AC85" s="1">
        <v>2667</v>
      </c>
      <c r="AD85" s="1">
        <f t="shared" ref="AD85:AD96" si="59">(AA85*AC85)/1000</f>
        <v>41.498520000000006</v>
      </c>
      <c r="AE85" s="1">
        <f t="shared" si="35"/>
        <v>1.2444398789002038</v>
      </c>
      <c r="AF85" s="1">
        <f t="shared" si="57"/>
        <v>160.41237113402062</v>
      </c>
      <c r="AG85" s="1">
        <f t="shared" si="58"/>
        <v>177.8</v>
      </c>
    </row>
    <row r="86" spans="1:33">
      <c r="A86" s="1">
        <v>2025</v>
      </c>
      <c r="B86" s="1">
        <v>6</v>
      </c>
      <c r="C86" s="1" t="s">
        <v>12</v>
      </c>
      <c r="D86" s="1">
        <v>8</v>
      </c>
      <c r="E86" s="1">
        <v>39</v>
      </c>
      <c r="F86" s="1" t="s">
        <v>10</v>
      </c>
      <c r="G86" s="1">
        <v>33.950000000000003</v>
      </c>
      <c r="I86" s="1">
        <v>35.89</v>
      </c>
      <c r="J86" s="1">
        <v>40.32</v>
      </c>
      <c r="M86" s="1">
        <v>7</v>
      </c>
      <c r="N86" s="1">
        <v>2</v>
      </c>
      <c r="O86" s="1">
        <f t="shared" si="33"/>
        <v>9.0525188662730756</v>
      </c>
      <c r="P86" s="1">
        <f t="shared" si="31"/>
        <v>11.403910843045786</v>
      </c>
      <c r="Q86" s="1">
        <f t="shared" si="32"/>
        <v>2.3513919767727103</v>
      </c>
      <c r="R86" s="1">
        <v>78</v>
      </c>
      <c r="S86" s="1">
        <v>250</v>
      </c>
      <c r="T86" s="1">
        <f>172+27+29+33+30+54</f>
        <v>345</v>
      </c>
      <c r="U86" s="1">
        <f>145+37+50+46+23+50+40</f>
        <v>391</v>
      </c>
      <c r="V86" s="1">
        <f>157+27+25+39+50+34+19+85</f>
        <v>436</v>
      </c>
      <c r="W86" s="1">
        <f t="shared" si="45"/>
        <v>1172</v>
      </c>
      <c r="X86" s="1">
        <f t="shared" si="36"/>
        <v>2.9249999999999998</v>
      </c>
      <c r="Y86" s="1">
        <v>80</v>
      </c>
      <c r="Z86" s="1">
        <f t="shared" si="34"/>
        <v>7.015137271858344</v>
      </c>
      <c r="AA86" s="1">
        <v>12.58</v>
      </c>
      <c r="AB86" s="1">
        <v>4</v>
      </c>
      <c r="AC86" s="1">
        <v>2667</v>
      </c>
      <c r="AD86" s="1">
        <f t="shared" si="59"/>
        <v>33.55086</v>
      </c>
      <c r="AE86" s="1">
        <f t="shared" si="35"/>
        <v>1.1031303359997247</v>
      </c>
      <c r="AF86" s="1">
        <f t="shared" si="57"/>
        <v>157.25</v>
      </c>
      <c r="AG86" s="1">
        <f t="shared" si="58"/>
        <v>177.8</v>
      </c>
    </row>
    <row r="87" spans="1:33">
      <c r="A87" s="1">
        <v>2025</v>
      </c>
      <c r="B87" s="1">
        <v>6</v>
      </c>
      <c r="C87" s="1" t="s">
        <v>12</v>
      </c>
      <c r="D87" s="1">
        <v>8</v>
      </c>
      <c r="E87" s="1">
        <v>40</v>
      </c>
      <c r="F87" s="1" t="s">
        <v>10</v>
      </c>
      <c r="G87" s="1">
        <v>28.25</v>
      </c>
      <c r="I87" s="1">
        <v>31.47</v>
      </c>
      <c r="J87" s="1">
        <v>32.07</v>
      </c>
      <c r="M87" s="1">
        <v>1</v>
      </c>
      <c r="N87" s="1">
        <v>1</v>
      </c>
      <c r="O87" s="1">
        <f t="shared" si="33"/>
        <v>6.2679682177637615</v>
      </c>
      <c r="P87" s="1">
        <f t="shared" si="31"/>
        <v>7.9272820591662034</v>
      </c>
      <c r="Q87" s="1">
        <f t="shared" si="32"/>
        <v>1.659313841402442</v>
      </c>
      <c r="R87" s="1">
        <v>70</v>
      </c>
      <c r="S87" s="1">
        <v>220</v>
      </c>
      <c r="T87" s="1">
        <f>142+26+25+20+17+20+46</f>
        <v>296</v>
      </c>
      <c r="U87" s="1">
        <f>15+12+22+16+15+9+13+29+104</f>
        <v>235</v>
      </c>
      <c r="V87" s="1">
        <f>186+48+38+15+43+18+6+60</f>
        <v>414</v>
      </c>
      <c r="W87" s="1">
        <f t="shared" si="45"/>
        <v>945</v>
      </c>
      <c r="X87" s="1">
        <f t="shared" si="36"/>
        <v>2.31</v>
      </c>
      <c r="Y87" s="1">
        <v>57</v>
      </c>
      <c r="Z87" s="1">
        <f t="shared" si="34"/>
        <v>7.1903585080704566</v>
      </c>
      <c r="AA87" s="1">
        <v>8.7000000000000011</v>
      </c>
      <c r="AB87" s="1">
        <v>3</v>
      </c>
      <c r="AC87" s="1">
        <v>2667</v>
      </c>
      <c r="AD87" s="1">
        <f t="shared" si="59"/>
        <v>23.202900000000003</v>
      </c>
      <c r="AE87" s="1">
        <f t="shared" si="35"/>
        <v>1.0974757722844382</v>
      </c>
      <c r="AF87" s="1">
        <f t="shared" si="57"/>
        <v>152.63157894736844</v>
      </c>
      <c r="AG87" s="1">
        <f t="shared" si="58"/>
        <v>133.35</v>
      </c>
    </row>
    <row r="88" spans="1:33">
      <c r="A88" s="1">
        <v>2025</v>
      </c>
      <c r="B88" s="1">
        <v>7</v>
      </c>
      <c r="C88" s="1" t="s">
        <v>12</v>
      </c>
      <c r="D88" s="1">
        <v>8</v>
      </c>
      <c r="E88" s="1">
        <v>44</v>
      </c>
      <c r="F88" s="1" t="s">
        <v>8</v>
      </c>
      <c r="G88" s="1">
        <v>17.16</v>
      </c>
      <c r="I88" s="1">
        <v>29.17</v>
      </c>
      <c r="J88" s="1">
        <v>32.74</v>
      </c>
      <c r="M88" s="1">
        <v>3</v>
      </c>
      <c r="N88" s="1">
        <v>3</v>
      </c>
      <c r="O88" s="1">
        <f t="shared" si="33"/>
        <v>2.3127274142372762</v>
      </c>
      <c r="P88" s="1">
        <f t="shared" si="31"/>
        <v>7.5257796458035005</v>
      </c>
      <c r="Q88" s="1">
        <f t="shared" si="32"/>
        <v>5.2130522315662242</v>
      </c>
      <c r="R88" s="1">
        <v>107</v>
      </c>
      <c r="S88" s="1">
        <v>207</v>
      </c>
      <c r="T88" s="1">
        <v>150</v>
      </c>
      <c r="U88" s="1">
        <f>117+17+11</f>
        <v>145</v>
      </c>
      <c r="V88" s="1">
        <v>48</v>
      </c>
      <c r="W88" s="1">
        <f t="shared" si="45"/>
        <v>343</v>
      </c>
      <c r="X88" s="1">
        <f t="shared" si="36"/>
        <v>3.3223500000000001</v>
      </c>
      <c r="Y88" s="1">
        <v>8</v>
      </c>
      <c r="Z88" s="1">
        <f t="shared" si="34"/>
        <v>1.063012787580212</v>
      </c>
      <c r="AA88" s="1">
        <v>2.16</v>
      </c>
      <c r="AB88" s="1">
        <v>1</v>
      </c>
      <c r="AC88" s="1">
        <v>2667</v>
      </c>
      <c r="AD88" s="1">
        <f t="shared" si="59"/>
        <v>5.7607200000000001</v>
      </c>
      <c r="AE88" s="1">
        <f t="shared" si="35"/>
        <v>0.28701345264665729</v>
      </c>
      <c r="AF88" s="1">
        <f t="shared" si="57"/>
        <v>270</v>
      </c>
      <c r="AG88" s="1">
        <f t="shared" si="58"/>
        <v>44.45</v>
      </c>
    </row>
    <row r="89" spans="1:33">
      <c r="A89" s="1">
        <v>2025</v>
      </c>
      <c r="B89" s="1">
        <v>7</v>
      </c>
      <c r="C89" s="1" t="s">
        <v>12</v>
      </c>
      <c r="D89" s="1">
        <v>8</v>
      </c>
      <c r="E89" s="1">
        <v>45</v>
      </c>
      <c r="F89" s="1" t="s">
        <v>8</v>
      </c>
      <c r="G89" s="1">
        <v>25.59</v>
      </c>
      <c r="I89" s="1">
        <v>33.700000000000003</v>
      </c>
      <c r="J89" s="1">
        <v>31.33</v>
      </c>
      <c r="M89" s="1">
        <v>0</v>
      </c>
      <c r="N89" s="1">
        <v>2</v>
      </c>
      <c r="O89" s="1">
        <f t="shared" si="33"/>
        <v>5.1431649504430856</v>
      </c>
      <c r="P89" s="1">
        <f t="shared" si="31"/>
        <v>8.3034275001245401</v>
      </c>
      <c r="Q89" s="1">
        <f t="shared" si="32"/>
        <v>3.1602625496814545</v>
      </c>
      <c r="R89" s="1">
        <v>110</v>
      </c>
      <c r="S89" s="1">
        <v>172</v>
      </c>
      <c r="T89" s="1">
        <f>135+68+33+63</f>
        <v>299</v>
      </c>
      <c r="U89" s="1">
        <f>109+50+50</f>
        <v>209</v>
      </c>
      <c r="V89" s="1">
        <f>61+12+26</f>
        <v>99</v>
      </c>
      <c r="W89" s="1">
        <f t="shared" si="45"/>
        <v>607</v>
      </c>
      <c r="X89" s="1">
        <f t="shared" si="36"/>
        <v>2.8380000000000001</v>
      </c>
      <c r="Y89" s="1">
        <v>18</v>
      </c>
      <c r="Z89" s="1">
        <f t="shared" si="34"/>
        <v>2.167779510296203</v>
      </c>
      <c r="AA89" s="1">
        <v>2.7199999999999998</v>
      </c>
      <c r="AB89" s="1">
        <v>1</v>
      </c>
      <c r="AC89" s="1">
        <v>2667</v>
      </c>
      <c r="AD89" s="1">
        <f t="shared" si="59"/>
        <v>7.2542399999999994</v>
      </c>
      <c r="AE89" s="1">
        <f t="shared" si="35"/>
        <v>0.32757557044475955</v>
      </c>
      <c r="AF89" s="1">
        <f t="shared" si="57"/>
        <v>151.11111111111109</v>
      </c>
      <c r="AG89" s="1">
        <f t="shared" si="58"/>
        <v>44.45</v>
      </c>
    </row>
    <row r="90" spans="1:33">
      <c r="A90" s="1">
        <v>2025</v>
      </c>
      <c r="B90" s="1">
        <v>7</v>
      </c>
      <c r="C90" s="1" t="s">
        <v>12</v>
      </c>
      <c r="D90" s="1">
        <v>8</v>
      </c>
      <c r="E90" s="1">
        <v>46</v>
      </c>
      <c r="F90" s="1" t="s">
        <v>8</v>
      </c>
      <c r="G90" s="1">
        <v>17.54</v>
      </c>
      <c r="I90" s="1">
        <v>27.98</v>
      </c>
      <c r="J90" s="1">
        <v>28.06</v>
      </c>
      <c r="M90" s="1">
        <v>0</v>
      </c>
      <c r="N90" s="1">
        <v>2</v>
      </c>
      <c r="O90" s="1">
        <f t="shared" si="33"/>
        <v>2.416290016062864</v>
      </c>
      <c r="P90" s="1">
        <f t="shared" si="31"/>
        <v>6.1663212020586995</v>
      </c>
      <c r="Q90" s="1">
        <f t="shared" si="32"/>
        <v>3.7500311859958355</v>
      </c>
      <c r="R90" s="1">
        <v>122</v>
      </c>
      <c r="S90" s="1">
        <v>255</v>
      </c>
      <c r="T90" s="1">
        <v>78</v>
      </c>
      <c r="U90" s="1">
        <f>173+23+95</f>
        <v>291</v>
      </c>
      <c r="V90" s="1">
        <f>210+15+112+76+51</f>
        <v>464</v>
      </c>
      <c r="W90" s="1">
        <f t="shared" si="45"/>
        <v>833</v>
      </c>
      <c r="X90" s="1">
        <f t="shared" si="36"/>
        <v>4.6665000000000001</v>
      </c>
      <c r="Y90" s="1">
        <v>17</v>
      </c>
      <c r="Z90" s="1">
        <f t="shared" si="34"/>
        <v>2.7569112024726103</v>
      </c>
      <c r="AA90" s="1">
        <v>1.18</v>
      </c>
      <c r="AB90" s="1">
        <v>1</v>
      </c>
      <c r="AC90" s="1">
        <v>2667</v>
      </c>
      <c r="AD90" s="1">
        <f t="shared" si="59"/>
        <v>3.1470599999999997</v>
      </c>
      <c r="AE90" s="1">
        <f t="shared" si="35"/>
        <v>0.19136207170104</v>
      </c>
      <c r="AF90" s="1">
        <f t="shared" si="57"/>
        <v>69.411764705882348</v>
      </c>
      <c r="AG90" s="1">
        <f t="shared" si="58"/>
        <v>44.45</v>
      </c>
    </row>
    <row r="91" spans="1:33">
      <c r="A91" s="1">
        <v>2025</v>
      </c>
      <c r="B91" s="1">
        <v>8</v>
      </c>
      <c r="C91" s="1" t="s">
        <v>12</v>
      </c>
      <c r="D91" s="1">
        <v>8</v>
      </c>
      <c r="E91" s="1">
        <v>51</v>
      </c>
      <c r="F91" s="1" t="s">
        <v>9</v>
      </c>
      <c r="G91" s="1">
        <v>43.44</v>
      </c>
      <c r="I91" s="1">
        <v>41.84</v>
      </c>
      <c r="J91" s="1">
        <v>56.54</v>
      </c>
      <c r="M91" s="1">
        <v>0</v>
      </c>
      <c r="N91" s="1">
        <v>2</v>
      </c>
      <c r="O91" s="1">
        <f t="shared" si="33"/>
        <v>14.820727237092747</v>
      </c>
      <c r="P91" s="1">
        <f t="shared" si="31"/>
        <v>19.003934569934319</v>
      </c>
      <c r="Q91" s="1">
        <f t="shared" si="32"/>
        <v>4.1832073328415724</v>
      </c>
      <c r="R91" s="1">
        <v>133</v>
      </c>
      <c r="S91" s="1">
        <v>361</v>
      </c>
      <c r="T91" s="1">
        <f>286+17+13+25+22+19+13+24+61+27+57+10+52+50+80+120+31+57+43+39+80+96+125</f>
        <v>1347</v>
      </c>
      <c r="U91" s="1">
        <f>240+40+42+59+14+27+52+78+7+45+24+26+27+72+66+83</f>
        <v>902</v>
      </c>
      <c r="V91" s="1">
        <f>227+31+35+16+100+10+30+16+43+38+37+96</f>
        <v>679</v>
      </c>
      <c r="W91" s="1">
        <f t="shared" si="45"/>
        <v>2928</v>
      </c>
      <c r="X91" s="1">
        <f t="shared" si="36"/>
        <v>7.2019500000000001</v>
      </c>
      <c r="Y91" s="1">
        <v>39</v>
      </c>
      <c r="Z91" s="1">
        <f t="shared" si="34"/>
        <v>2.0522066026106502</v>
      </c>
      <c r="AA91" s="1">
        <v>6.419999999999999</v>
      </c>
      <c r="AB91" s="1">
        <v>2</v>
      </c>
      <c r="AC91" s="1">
        <v>2667</v>
      </c>
      <c r="AD91" s="1">
        <f t="shared" si="59"/>
        <v>17.122139999999995</v>
      </c>
      <c r="AE91" s="1">
        <f t="shared" si="35"/>
        <v>0.3378247791989839</v>
      </c>
      <c r="AF91" s="1">
        <f t="shared" si="57"/>
        <v>164.61538461538458</v>
      </c>
      <c r="AG91" s="1">
        <f t="shared" si="58"/>
        <v>88.9</v>
      </c>
    </row>
    <row r="92" spans="1:33">
      <c r="A92" s="1">
        <v>2025</v>
      </c>
      <c r="B92" s="1">
        <v>8</v>
      </c>
      <c r="C92" s="1" t="s">
        <v>12</v>
      </c>
      <c r="D92" s="1">
        <v>8</v>
      </c>
      <c r="E92" s="1">
        <v>54</v>
      </c>
      <c r="F92" s="1" t="s">
        <v>9</v>
      </c>
      <c r="G92" s="1">
        <v>42.39</v>
      </c>
      <c r="I92" s="1">
        <v>47.5</v>
      </c>
      <c r="J92" s="1">
        <v>51.6</v>
      </c>
      <c r="M92" s="1">
        <v>0</v>
      </c>
      <c r="N92" s="1">
        <v>2</v>
      </c>
      <c r="O92" s="1">
        <f t="shared" si="33"/>
        <v>14.112914631266518</v>
      </c>
      <c r="P92" s="1">
        <f t="shared" si="31"/>
        <v>19.283115342688234</v>
      </c>
      <c r="Q92" s="1">
        <f t="shared" si="32"/>
        <v>5.1702007114217157</v>
      </c>
      <c r="R92" s="1">
        <v>99</v>
      </c>
      <c r="S92" s="1">
        <v>315</v>
      </c>
      <c r="T92" s="1">
        <f>175+34+32+23+37+44+40+32+49+26+62+15+28+27+13+16+30+49+67</f>
        <v>799</v>
      </c>
      <c r="U92" s="1">
        <f>263+50+45+45+27+29+44+30+13+35+22+70+115+30</f>
        <v>818</v>
      </c>
      <c r="V92" s="1">
        <f>260+17+10+32+20+10+42+10+7+30+36+23+33+30+50+84+78</f>
        <v>772</v>
      </c>
      <c r="W92" s="1">
        <f t="shared" si="45"/>
        <v>2389</v>
      </c>
      <c r="X92" s="1">
        <f t="shared" si="36"/>
        <v>4.6777499999999996</v>
      </c>
      <c r="Y92" s="1">
        <v>54</v>
      </c>
      <c r="Z92" s="1">
        <f t="shared" si="34"/>
        <v>2.8003773788801043</v>
      </c>
      <c r="AA92" s="1">
        <v>8.82</v>
      </c>
      <c r="AB92" s="1">
        <v>3</v>
      </c>
      <c r="AC92" s="1">
        <v>2667</v>
      </c>
      <c r="AD92" s="1">
        <f t="shared" si="59"/>
        <v>23.522940000000002</v>
      </c>
      <c r="AE92" s="1">
        <f t="shared" si="35"/>
        <v>0.45739497188375039</v>
      </c>
      <c r="AF92" s="1">
        <f t="shared" si="57"/>
        <v>163.33333333333334</v>
      </c>
      <c r="AG92" s="1">
        <f t="shared" si="58"/>
        <v>133.35</v>
      </c>
    </row>
    <row r="93" spans="1:33">
      <c r="A93" s="1">
        <v>2025</v>
      </c>
      <c r="B93" s="1">
        <v>8</v>
      </c>
      <c r="C93" s="1" t="s">
        <v>12</v>
      </c>
      <c r="D93" s="1">
        <v>8</v>
      </c>
      <c r="E93" s="1">
        <v>55</v>
      </c>
      <c r="F93" s="1" t="s">
        <v>9</v>
      </c>
      <c r="G93" s="1">
        <v>29.61</v>
      </c>
      <c r="I93" s="1">
        <v>41.11</v>
      </c>
      <c r="J93" s="1">
        <v>36.06</v>
      </c>
      <c r="M93" s="1">
        <v>3</v>
      </c>
      <c r="N93" s="1">
        <v>2</v>
      </c>
      <c r="O93" s="1">
        <f t="shared" si="33"/>
        <v>6.8859948909485578</v>
      </c>
      <c r="P93" s="1">
        <f t="shared" si="31"/>
        <v>11.693025331770347</v>
      </c>
      <c r="Q93" s="1">
        <f t="shared" si="32"/>
        <v>4.807030440821789</v>
      </c>
      <c r="R93" s="1">
        <v>91</v>
      </c>
      <c r="S93" s="1">
        <v>326</v>
      </c>
      <c r="T93" s="1">
        <f>264+44+20+21+40+40+12+36+38+57+33+34+27+37+35</f>
        <v>738</v>
      </c>
      <c r="U93" s="1">
        <f>260+50+22+16+27+33+48+41+62+107</f>
        <v>666</v>
      </c>
      <c r="V93" s="1">
        <f>187+43+41+41+48+31+35+61</f>
        <v>487</v>
      </c>
      <c r="W93" s="1">
        <f t="shared" si="45"/>
        <v>1891</v>
      </c>
      <c r="X93" s="1">
        <f t="shared" si="36"/>
        <v>4.4499000000000004</v>
      </c>
      <c r="Y93" s="1">
        <v>92</v>
      </c>
      <c r="Z93" s="1">
        <f t="shared" si="34"/>
        <v>7.8679381417256389</v>
      </c>
      <c r="AA93" s="1">
        <v>13.5</v>
      </c>
      <c r="AB93" s="1">
        <v>4</v>
      </c>
      <c r="AC93" s="1">
        <v>2667</v>
      </c>
      <c r="AD93" s="1">
        <f t="shared" si="59"/>
        <v>36.0045</v>
      </c>
      <c r="AE93" s="1">
        <f t="shared" si="35"/>
        <v>1.1545344012314795</v>
      </c>
      <c r="AF93" s="1">
        <f t="shared" si="57"/>
        <v>146.73913043478262</v>
      </c>
      <c r="AG93" s="1">
        <f t="shared" si="58"/>
        <v>177.8</v>
      </c>
    </row>
    <row r="94" spans="1:33">
      <c r="A94" s="1">
        <v>2025</v>
      </c>
      <c r="B94" s="1">
        <v>9</v>
      </c>
      <c r="C94" s="1" t="s">
        <v>12</v>
      </c>
      <c r="D94" s="1">
        <v>8</v>
      </c>
      <c r="E94" s="1">
        <v>58</v>
      </c>
      <c r="F94" s="1" t="s">
        <v>10</v>
      </c>
      <c r="G94" s="1">
        <v>35.29</v>
      </c>
      <c r="I94" s="1">
        <v>41.5</v>
      </c>
      <c r="J94" s="1">
        <v>40.32</v>
      </c>
      <c r="M94" s="1">
        <v>2</v>
      </c>
      <c r="N94" s="1">
        <v>2</v>
      </c>
      <c r="O94" s="1">
        <f t="shared" si="33"/>
        <v>9.7812238486438403</v>
      </c>
      <c r="P94" s="1">
        <f t="shared" si="31"/>
        <v>13.144644359503605</v>
      </c>
      <c r="Q94" s="1">
        <f t="shared" si="32"/>
        <v>3.3634205108597648</v>
      </c>
      <c r="R94" s="1">
        <v>96</v>
      </c>
      <c r="S94" s="1">
        <v>300</v>
      </c>
      <c r="T94" s="1">
        <f>233+13+34+26+49+45+41+31+13+12+7+36+44+92</f>
        <v>676</v>
      </c>
      <c r="U94" s="1">
        <f>156+26+12+20+9+25+49+70+25+58</f>
        <v>450</v>
      </c>
      <c r="V94" s="1">
        <f>170+33+8+41+67+70+85</f>
        <v>474</v>
      </c>
      <c r="W94" s="1">
        <f t="shared" si="45"/>
        <v>1600</v>
      </c>
      <c r="X94" s="1">
        <f t="shared" si="36"/>
        <v>4.32</v>
      </c>
      <c r="Y94" s="1">
        <v>74</v>
      </c>
      <c r="Z94" s="1">
        <f t="shared" si="34"/>
        <v>5.62966923836915</v>
      </c>
      <c r="AA94" s="1">
        <v>12.74</v>
      </c>
      <c r="AB94" s="1">
        <v>3</v>
      </c>
      <c r="AC94" s="1">
        <v>2667</v>
      </c>
      <c r="AD94" s="1">
        <f t="shared" si="59"/>
        <v>33.977580000000003</v>
      </c>
      <c r="AE94" s="1">
        <f t="shared" si="35"/>
        <v>0.96921602833544551</v>
      </c>
      <c r="AF94" s="1">
        <f t="shared" si="57"/>
        <v>172.16216216216216</v>
      </c>
      <c r="AG94" s="1">
        <f t="shared" si="58"/>
        <v>133.35</v>
      </c>
    </row>
    <row r="95" spans="1:33">
      <c r="A95" s="1">
        <v>2025</v>
      </c>
      <c r="B95" s="1">
        <v>9</v>
      </c>
      <c r="C95" s="1" t="s">
        <v>12</v>
      </c>
      <c r="D95" s="1">
        <v>8</v>
      </c>
      <c r="E95" s="1">
        <v>60</v>
      </c>
      <c r="F95" s="1" t="s">
        <v>10</v>
      </c>
      <c r="G95" s="1">
        <v>34.39</v>
      </c>
      <c r="I95" s="1">
        <v>40.630000000000003</v>
      </c>
      <c r="J95" s="1">
        <v>40.28</v>
      </c>
      <c r="M95" s="1">
        <v>6</v>
      </c>
      <c r="N95" s="1">
        <v>3</v>
      </c>
      <c r="O95" s="1">
        <f t="shared" si="33"/>
        <v>9.2886849524140338</v>
      </c>
      <c r="P95" s="1">
        <f t="shared" si="31"/>
        <v>12.853881516383614</v>
      </c>
      <c r="Q95" s="1">
        <f t="shared" si="32"/>
        <v>3.5651965639695806</v>
      </c>
      <c r="R95" s="1">
        <v>112</v>
      </c>
      <c r="S95" s="1">
        <v>316</v>
      </c>
      <c r="T95" s="1">
        <f>80+102+16+21+14+40+44</f>
        <v>317</v>
      </c>
      <c r="U95" s="1">
        <f>145+40+30+25+36+34+14+14+33+50</f>
        <v>421</v>
      </c>
      <c r="V95" s="1">
        <f>35+45+42+25+23+36+48+58+43+48+150+80</f>
        <v>633</v>
      </c>
      <c r="W95" s="1">
        <f t="shared" si="45"/>
        <v>1371</v>
      </c>
      <c r="X95" s="1">
        <f t="shared" si="36"/>
        <v>5.3087999999999997</v>
      </c>
      <c r="Y95" s="1">
        <v>98</v>
      </c>
      <c r="Z95" s="1">
        <f t="shared" si="34"/>
        <v>7.6241561644308584</v>
      </c>
      <c r="AA95" s="1">
        <v>16.559999999999999</v>
      </c>
      <c r="AB95" s="1">
        <v>4</v>
      </c>
      <c r="AC95" s="1">
        <v>2667</v>
      </c>
      <c r="AD95" s="1">
        <f t="shared" si="59"/>
        <v>44.165519999999994</v>
      </c>
      <c r="AE95" s="1">
        <f t="shared" si="35"/>
        <v>1.2883267967650511</v>
      </c>
      <c r="AF95" s="1">
        <f t="shared" si="57"/>
        <v>168.9795918367347</v>
      </c>
      <c r="AG95" s="1">
        <f t="shared" si="58"/>
        <v>177.8</v>
      </c>
    </row>
    <row r="96" spans="1:33">
      <c r="A96" s="1">
        <v>2025</v>
      </c>
      <c r="B96" s="1">
        <v>9</v>
      </c>
      <c r="C96" s="1" t="s">
        <v>12</v>
      </c>
      <c r="D96" s="1">
        <v>8</v>
      </c>
      <c r="E96" s="1">
        <v>62</v>
      </c>
      <c r="F96" s="1" t="s">
        <v>10</v>
      </c>
      <c r="G96" s="1">
        <v>36.729999999999997</v>
      </c>
      <c r="I96" s="1">
        <v>40.479999999999997</v>
      </c>
      <c r="J96" s="1">
        <v>42.97</v>
      </c>
      <c r="M96" s="1">
        <v>3</v>
      </c>
      <c r="N96" s="1">
        <v>3</v>
      </c>
      <c r="O96" s="1">
        <f t="shared" si="33"/>
        <v>10.595750859125372</v>
      </c>
      <c r="P96" s="1">
        <f t="shared" si="31"/>
        <v>13.673590583947242</v>
      </c>
      <c r="Q96" s="1">
        <f t="shared" si="32"/>
        <v>3.0778397248218692</v>
      </c>
      <c r="R96" s="1">
        <v>90</v>
      </c>
      <c r="S96" s="1">
        <v>295</v>
      </c>
      <c r="T96" s="1">
        <f>143+36+11+25+10+13+23+40</f>
        <v>301</v>
      </c>
      <c r="U96" s="1">
        <f>173+22+45+34+14+30+30+14+33+42+52+44+17+34+33+30+24</f>
        <v>671</v>
      </c>
      <c r="V96" s="1">
        <f>233+45+39+22+46+23+15+33+35+54+34+42+41+18+15+24+20+37+32+69</f>
        <v>877</v>
      </c>
      <c r="W96" s="1">
        <f t="shared" si="45"/>
        <v>1849</v>
      </c>
      <c r="X96" s="1">
        <f t="shared" si="36"/>
        <v>3.9824999999999999</v>
      </c>
      <c r="Y96" s="1">
        <v>90</v>
      </c>
      <c r="Z96" s="1">
        <f t="shared" si="34"/>
        <v>6.5820312117330584</v>
      </c>
      <c r="AA96" s="1">
        <v>16.919999999999998</v>
      </c>
      <c r="AB96" s="1">
        <v>5</v>
      </c>
      <c r="AC96" s="1">
        <v>2667</v>
      </c>
      <c r="AD96" s="1">
        <f t="shared" si="59"/>
        <v>45.12563999999999</v>
      </c>
      <c r="AE96" s="1">
        <f t="shared" si="35"/>
        <v>1.2374218678058149</v>
      </c>
      <c r="AF96" s="1">
        <f t="shared" si="57"/>
        <v>187.99999999999997</v>
      </c>
      <c r="AG96" s="1">
        <f t="shared" si="58"/>
        <v>222.25</v>
      </c>
    </row>
    <row r="97" spans="1:33">
      <c r="A97" s="1">
        <v>2025</v>
      </c>
      <c r="B97" s="1">
        <v>10</v>
      </c>
      <c r="C97" s="1" t="s">
        <v>12</v>
      </c>
      <c r="D97" s="1">
        <v>7</v>
      </c>
      <c r="E97" s="1">
        <v>66</v>
      </c>
      <c r="F97" s="1" t="s">
        <v>7</v>
      </c>
      <c r="I97" s="1">
        <v>41.1</v>
      </c>
      <c r="J97" s="1">
        <v>46.65</v>
      </c>
      <c r="R97" s="1">
        <v>173</v>
      </c>
      <c r="S97" s="1">
        <v>337</v>
      </c>
      <c r="T97" s="1">
        <f>220+126+10+45+35+17+36+15+10+31+28</f>
        <v>573</v>
      </c>
      <c r="U97" s="1">
        <f>230+48+53+43+47+50+17+46+29+71+109+42+69+54+50+48+12</f>
        <v>1018</v>
      </c>
      <c r="V97" s="1">
        <f>177+111+77+39+27+49+38</f>
        <v>518</v>
      </c>
      <c r="W97" s="1">
        <f t="shared" si="45"/>
        <v>2109</v>
      </c>
      <c r="X97" s="1">
        <f t="shared" si="36"/>
        <v>8.7451500000000006</v>
      </c>
    </row>
    <row r="98" spans="1:33">
      <c r="A98" s="1">
        <v>2025</v>
      </c>
      <c r="B98" s="1">
        <v>10</v>
      </c>
      <c r="C98" s="1" t="s">
        <v>12</v>
      </c>
      <c r="D98" s="1">
        <v>8</v>
      </c>
      <c r="E98" s="1">
        <v>66</v>
      </c>
      <c r="F98" s="1" t="s">
        <v>7</v>
      </c>
      <c r="G98" s="1">
        <v>26.71</v>
      </c>
      <c r="M98" s="1">
        <v>4</v>
      </c>
      <c r="N98" s="1">
        <v>1</v>
      </c>
      <c r="O98" s="1">
        <f t="shared" si="33"/>
        <v>5.6032197786347755</v>
      </c>
      <c r="Y98" s="1">
        <v>96</v>
      </c>
      <c r="AA98" s="1">
        <v>15.72</v>
      </c>
      <c r="AB98" s="1">
        <v>5</v>
      </c>
      <c r="AC98" s="1">
        <v>2667</v>
      </c>
      <c r="AD98" s="1">
        <f t="shared" ref="AD98:AD103" si="60">(AA98*AC98)/1000</f>
        <v>41.925240000000002</v>
      </c>
      <c r="AF98" s="1">
        <f t="shared" ref="AF98:AF103" si="61">AA98/Y98*1000</f>
        <v>163.75</v>
      </c>
      <c r="AG98" s="1">
        <f t="shared" ref="AG98:AG103" si="62">(AB98*AC98)/60</f>
        <v>222.25</v>
      </c>
    </row>
    <row r="99" spans="1:33">
      <c r="A99" s="1">
        <v>2025</v>
      </c>
      <c r="B99" s="1">
        <v>10</v>
      </c>
      <c r="C99" s="1" t="s">
        <v>12</v>
      </c>
      <c r="D99" s="1">
        <v>8</v>
      </c>
      <c r="E99" s="1">
        <v>67</v>
      </c>
      <c r="F99" s="1" t="s">
        <v>7</v>
      </c>
      <c r="G99" s="1">
        <v>37.42</v>
      </c>
      <c r="I99" s="1">
        <v>45.4</v>
      </c>
      <c r="J99" s="1">
        <v>45.19</v>
      </c>
      <c r="M99" s="1">
        <v>0</v>
      </c>
      <c r="N99" s="1">
        <v>1</v>
      </c>
      <c r="O99" s="1">
        <f t="shared" si="33"/>
        <v>10.997588048455226</v>
      </c>
      <c r="P99" s="1">
        <f t="shared" si="31"/>
        <v>16.113519513932051</v>
      </c>
      <c r="Q99" s="1">
        <f t="shared" si="32"/>
        <v>5.1159314654768249</v>
      </c>
      <c r="R99" s="1">
        <v>128</v>
      </c>
      <c r="S99" s="1">
        <v>286</v>
      </c>
      <c r="T99" s="1">
        <f>225+78+30+10+108+31+10+58+20+22+69+44+24+71+64+28+33+38+45+48+45+62+125+28+20+80+84</f>
        <v>1500</v>
      </c>
      <c r="U99" s="1">
        <f>227+15+39+41+72+68+45+86+39+32+31+93</f>
        <v>788</v>
      </c>
      <c r="V99" s="1">
        <f>209+17+13+61+64+40+42+82+31+36+51+44+89</f>
        <v>779</v>
      </c>
      <c r="W99" s="1">
        <f t="shared" ref="W99:W133" si="63">T99+U99+V99</f>
        <v>3067</v>
      </c>
      <c r="X99" s="1">
        <f t="shared" si="36"/>
        <v>5.4912000000000001</v>
      </c>
      <c r="Y99" s="1">
        <v>59</v>
      </c>
      <c r="Z99" s="1">
        <f t="shared" si="34"/>
        <v>3.661521615373196</v>
      </c>
      <c r="AA99" s="1">
        <v>11.120000000000001</v>
      </c>
      <c r="AB99" s="1">
        <v>2</v>
      </c>
      <c r="AC99" s="1">
        <v>2667</v>
      </c>
      <c r="AD99" s="1">
        <f t="shared" si="60"/>
        <v>29.657040000000002</v>
      </c>
      <c r="AE99" s="1">
        <f t="shared" si="35"/>
        <v>0.69010373496525323</v>
      </c>
      <c r="AF99" s="1">
        <f t="shared" si="61"/>
        <v>188.47457627118646</v>
      </c>
      <c r="AG99" s="1">
        <f t="shared" si="62"/>
        <v>88.9</v>
      </c>
    </row>
    <row r="100" spans="1:33">
      <c r="A100" s="1">
        <v>2025</v>
      </c>
      <c r="B100" s="1">
        <v>10</v>
      </c>
      <c r="C100" s="1" t="s">
        <v>12</v>
      </c>
      <c r="D100" s="1">
        <v>8</v>
      </c>
      <c r="E100" s="1">
        <v>68</v>
      </c>
      <c r="F100" s="1" t="s">
        <v>7</v>
      </c>
      <c r="G100" s="1">
        <v>41.07</v>
      </c>
      <c r="I100" s="1">
        <v>50.42</v>
      </c>
      <c r="J100" s="1">
        <v>45.31</v>
      </c>
      <c r="M100" s="1">
        <v>1</v>
      </c>
      <c r="N100" s="1">
        <v>1</v>
      </c>
      <c r="O100" s="1">
        <f t="shared" si="33"/>
        <v>13.247663465800127</v>
      </c>
      <c r="P100" s="1">
        <f t="shared" si="31"/>
        <v>17.993929221516179</v>
      </c>
      <c r="Q100" s="1">
        <f t="shared" si="32"/>
        <v>4.7462657557160526</v>
      </c>
      <c r="R100" s="1">
        <v>141</v>
      </c>
      <c r="S100" s="1">
        <v>310</v>
      </c>
      <c r="T100" s="1">
        <f>100+132+63+115+63+35+62+34+49+38+77+44+43</f>
        <v>855</v>
      </c>
      <c r="U100" s="1">
        <f>142+50+15+67+44+41+56+58</f>
        <v>473</v>
      </c>
      <c r="V100" s="1">
        <f>188+97+18+29+38+11+52+32+34+33+28+28+33+42</f>
        <v>663</v>
      </c>
      <c r="W100" s="1">
        <f t="shared" si="63"/>
        <v>1991</v>
      </c>
      <c r="X100" s="1">
        <f>(150*R100*S100)/1000000</f>
        <v>6.5564999999999998</v>
      </c>
      <c r="Y100" s="1">
        <v>86</v>
      </c>
      <c r="Z100" s="1">
        <f t="shared" si="34"/>
        <v>4.7793897008978892</v>
      </c>
      <c r="AA100" s="1">
        <v>14.820000000000002</v>
      </c>
      <c r="AB100" s="1">
        <v>4</v>
      </c>
      <c r="AC100" s="1">
        <v>2667</v>
      </c>
      <c r="AD100" s="1">
        <f t="shared" si="60"/>
        <v>39.524940000000001</v>
      </c>
      <c r="AE100" s="1">
        <f t="shared" si="35"/>
        <v>0.82361110892217126</v>
      </c>
      <c r="AF100" s="1">
        <f t="shared" si="61"/>
        <v>172.32558139534888</v>
      </c>
      <c r="AG100" s="1">
        <f t="shared" si="62"/>
        <v>177.8</v>
      </c>
    </row>
    <row r="101" spans="1:33">
      <c r="A101" s="1">
        <v>2025</v>
      </c>
      <c r="B101" s="1">
        <v>1</v>
      </c>
      <c r="C101" s="1" t="s">
        <v>13</v>
      </c>
      <c r="D101" s="1">
        <v>11</v>
      </c>
      <c r="E101" s="1">
        <v>4</v>
      </c>
      <c r="F101" s="1" t="s">
        <v>6</v>
      </c>
      <c r="G101" s="1">
        <v>26.27</v>
      </c>
      <c r="I101" s="1">
        <v>28.14</v>
      </c>
      <c r="J101" s="1">
        <v>32.090000000000003</v>
      </c>
      <c r="M101" s="1">
        <v>6</v>
      </c>
      <c r="N101" s="1">
        <v>4</v>
      </c>
      <c r="O101" s="1">
        <f t="shared" si="33"/>
        <v>5.4201340419688684</v>
      </c>
      <c r="P101" s="1">
        <f t="shared" si="31"/>
        <v>7.1228798127585682</v>
      </c>
      <c r="Q101" s="1">
        <f t="shared" si="32"/>
        <v>1.7027457707896998</v>
      </c>
      <c r="R101" s="1">
        <v>107</v>
      </c>
      <c r="S101" s="1">
        <v>252</v>
      </c>
      <c r="T101" s="1">
        <f>36+29+49+40</f>
        <v>154</v>
      </c>
      <c r="U101" s="1">
        <v>66</v>
      </c>
      <c r="V101" s="1">
        <v>72</v>
      </c>
      <c r="W101" s="1">
        <f t="shared" si="63"/>
        <v>292</v>
      </c>
      <c r="X101" s="31">
        <f>((3.141592*(R101/2)^2)*S101)/3/1000000</f>
        <v>0.755329822968</v>
      </c>
      <c r="Y101" s="1">
        <v>18</v>
      </c>
      <c r="Z101" s="1">
        <f t="shared" si="34"/>
        <v>2.5270677693814565</v>
      </c>
      <c r="AA101" s="1">
        <v>4.04</v>
      </c>
      <c r="AB101" s="1">
        <v>1</v>
      </c>
      <c r="AC101" s="1">
        <v>4032</v>
      </c>
      <c r="AD101" s="1">
        <f t="shared" si="60"/>
        <v>16.289280000000002</v>
      </c>
      <c r="AE101" s="1">
        <f t="shared" si="35"/>
        <v>0.56718632157228244</v>
      </c>
      <c r="AF101" s="1">
        <f t="shared" si="61"/>
        <v>224.44444444444446</v>
      </c>
      <c r="AG101" s="1">
        <f t="shared" si="62"/>
        <v>67.2</v>
      </c>
    </row>
    <row r="102" spans="1:33">
      <c r="A102" s="1">
        <v>2025</v>
      </c>
      <c r="B102" s="1">
        <v>1</v>
      </c>
      <c r="C102" s="1" t="s">
        <v>13</v>
      </c>
      <c r="D102" s="1">
        <v>11</v>
      </c>
      <c r="E102" s="1">
        <v>5</v>
      </c>
      <c r="F102" s="1" t="s">
        <v>6</v>
      </c>
      <c r="G102" s="1">
        <v>31.86</v>
      </c>
      <c r="I102" s="1">
        <v>38.700000000000003</v>
      </c>
      <c r="J102" s="1">
        <v>38.58</v>
      </c>
      <c r="M102" s="1">
        <v>19</v>
      </c>
      <c r="N102" s="1">
        <v>6</v>
      </c>
      <c r="O102" s="1">
        <f t="shared" si="33"/>
        <v>7.9722594557894855</v>
      </c>
      <c r="P102" s="1">
        <f t="shared" si="31"/>
        <v>11.726384137012948</v>
      </c>
      <c r="Q102" s="1">
        <f t="shared" si="32"/>
        <v>3.7541246812234625</v>
      </c>
      <c r="R102" s="1">
        <v>177</v>
      </c>
      <c r="S102" s="1">
        <v>280</v>
      </c>
      <c r="T102" s="1">
        <f>97+34+23+33+23</f>
        <v>210</v>
      </c>
      <c r="U102" s="1">
        <v>68</v>
      </c>
      <c r="V102" s="1">
        <f>78+41+65+40</f>
        <v>224</v>
      </c>
      <c r="W102" s="1">
        <f t="shared" si="63"/>
        <v>502</v>
      </c>
      <c r="X102" s="31">
        <f t="shared" ref="X102:X161" si="64">((3.141592*(R102/2)^2)*S102)/3/1000000</f>
        <v>2.2965351679200006</v>
      </c>
      <c r="Y102" s="1">
        <v>17</v>
      </c>
      <c r="Z102" s="1">
        <f t="shared" si="34"/>
        <v>1.449722250385906</v>
      </c>
      <c r="AA102" s="1">
        <v>3.2199999999999998</v>
      </c>
      <c r="AB102" s="1">
        <v>1</v>
      </c>
      <c r="AC102" s="1">
        <v>4032</v>
      </c>
      <c r="AD102" s="1">
        <f t="shared" si="60"/>
        <v>12.983039999999999</v>
      </c>
      <c r="AE102" s="1">
        <f t="shared" si="35"/>
        <v>0.27459444977897746</v>
      </c>
      <c r="AF102" s="1">
        <f t="shared" si="61"/>
        <v>189.41176470588235</v>
      </c>
      <c r="AG102" s="1">
        <f t="shared" si="62"/>
        <v>67.2</v>
      </c>
    </row>
    <row r="103" spans="1:33">
      <c r="A103" s="1">
        <v>2025</v>
      </c>
      <c r="B103" s="1">
        <v>1</v>
      </c>
      <c r="C103" s="1" t="s">
        <v>13</v>
      </c>
      <c r="D103" s="1">
        <v>11</v>
      </c>
      <c r="E103" s="1">
        <v>7</v>
      </c>
      <c r="F103" s="1" t="s">
        <v>6</v>
      </c>
      <c r="G103" s="1">
        <v>31.49</v>
      </c>
      <c r="I103" s="1">
        <v>39.35</v>
      </c>
      <c r="J103" s="1">
        <v>38.33</v>
      </c>
      <c r="M103" s="1">
        <v>6</v>
      </c>
      <c r="N103" s="1">
        <v>5</v>
      </c>
      <c r="O103" s="1">
        <f t="shared" si="33"/>
        <v>7.7881660532799408</v>
      </c>
      <c r="P103" s="1">
        <f t="shared" si="31"/>
        <v>11.848089436413018</v>
      </c>
      <c r="Q103" s="1">
        <f t="shared" si="32"/>
        <v>4.0599233831330768</v>
      </c>
      <c r="R103" s="1">
        <v>96</v>
      </c>
      <c r="S103" s="1">
        <v>278</v>
      </c>
      <c r="T103" s="1">
        <f>55+20</f>
        <v>75</v>
      </c>
      <c r="U103" s="1">
        <v>54</v>
      </c>
      <c r="V103" s="1">
        <v>43</v>
      </c>
      <c r="W103" s="1">
        <f t="shared" si="63"/>
        <v>172</v>
      </c>
      <c r="X103" s="31">
        <f t="shared" si="64"/>
        <v>0.67074245836799995</v>
      </c>
      <c r="Y103" s="1">
        <v>16</v>
      </c>
      <c r="Z103" s="1">
        <f t="shared" si="34"/>
        <v>1.3504286987256204</v>
      </c>
      <c r="AA103" s="1">
        <v>3.88</v>
      </c>
      <c r="AB103" s="1">
        <v>1</v>
      </c>
      <c r="AC103" s="1">
        <v>4032</v>
      </c>
      <c r="AD103" s="1">
        <f t="shared" si="60"/>
        <v>15.644159999999999</v>
      </c>
      <c r="AE103" s="1">
        <f t="shared" si="35"/>
        <v>0.32747895944096295</v>
      </c>
      <c r="AF103" s="1">
        <f t="shared" si="61"/>
        <v>242.5</v>
      </c>
      <c r="AG103" s="1">
        <f t="shared" si="62"/>
        <v>67.2</v>
      </c>
    </row>
    <row r="104" spans="1:33">
      <c r="A104" s="1">
        <v>2025</v>
      </c>
      <c r="B104" s="1">
        <v>1</v>
      </c>
      <c r="C104" s="1" t="s">
        <v>13</v>
      </c>
      <c r="D104" s="1">
        <v>11</v>
      </c>
      <c r="E104" s="1">
        <v>8</v>
      </c>
      <c r="F104" s="1" t="s">
        <v>6</v>
      </c>
      <c r="G104" s="1">
        <v>25.29</v>
      </c>
      <c r="I104" s="1">
        <v>28.18</v>
      </c>
      <c r="J104" s="1">
        <v>27.96</v>
      </c>
      <c r="M104" s="1">
        <v>2</v>
      </c>
      <c r="N104" s="1">
        <v>4</v>
      </c>
      <c r="O104" s="1">
        <f t="shared" si="33"/>
        <v>5.0232817747820988</v>
      </c>
      <c r="P104" s="1">
        <f t="shared" si="31"/>
        <v>6.1883476935511803</v>
      </c>
      <c r="Q104" s="1">
        <f t="shared" si="32"/>
        <v>1.1650659187690815</v>
      </c>
      <c r="R104" s="1">
        <v>104</v>
      </c>
      <c r="S104" s="1">
        <v>218</v>
      </c>
      <c r="T104" s="1">
        <v>73</v>
      </c>
      <c r="U104" s="1">
        <f>22+69</f>
        <v>91</v>
      </c>
      <c r="V104" s="1">
        <v>60</v>
      </c>
      <c r="W104" s="1">
        <f t="shared" si="63"/>
        <v>224</v>
      </c>
      <c r="X104" s="31">
        <f t="shared" si="64"/>
        <v>0.61729350647466674</v>
      </c>
    </row>
    <row r="105" spans="1:33">
      <c r="A105" s="1">
        <v>2025</v>
      </c>
      <c r="B105" s="1">
        <v>1</v>
      </c>
      <c r="C105" s="1" t="s">
        <v>13</v>
      </c>
      <c r="D105" s="1">
        <v>11</v>
      </c>
      <c r="E105" s="1">
        <v>9</v>
      </c>
      <c r="F105" s="1" t="s">
        <v>6</v>
      </c>
      <c r="G105" s="1">
        <v>29.86</v>
      </c>
      <c r="I105" s="1">
        <v>36.94</v>
      </c>
      <c r="J105" s="1">
        <v>36.869999999999997</v>
      </c>
      <c r="M105" s="1">
        <v>1</v>
      </c>
      <c r="N105" s="1">
        <v>5</v>
      </c>
      <c r="O105" s="1">
        <f t="shared" si="33"/>
        <v>7.0027639628916738</v>
      </c>
      <c r="P105" s="1">
        <f t="shared" si="31"/>
        <v>10.696958248208475</v>
      </c>
      <c r="Q105" s="1">
        <f t="shared" si="32"/>
        <v>3.6941942853168008</v>
      </c>
      <c r="R105" s="1">
        <v>190</v>
      </c>
      <c r="S105" s="1">
        <f>23+218</f>
        <v>241</v>
      </c>
      <c r="T105" s="1">
        <f>10+49</f>
        <v>59</v>
      </c>
      <c r="U105" s="1">
        <f>80+59+73</f>
        <v>212</v>
      </c>
      <c r="V105" s="1">
        <f>12+12+48</f>
        <v>72</v>
      </c>
      <c r="W105" s="1">
        <f t="shared" si="63"/>
        <v>343</v>
      </c>
      <c r="X105" s="31">
        <f t="shared" si="64"/>
        <v>2.2776803799333334</v>
      </c>
    </row>
    <row r="106" spans="1:33">
      <c r="A106" s="1">
        <v>2025</v>
      </c>
      <c r="B106" s="1">
        <v>1</v>
      </c>
      <c r="C106" s="1" t="s">
        <v>13</v>
      </c>
      <c r="D106" s="1">
        <v>11</v>
      </c>
      <c r="E106" s="1">
        <v>10</v>
      </c>
      <c r="F106" s="1" t="s">
        <v>6</v>
      </c>
      <c r="G106" s="1">
        <v>23.8</v>
      </c>
      <c r="I106" s="1">
        <v>32.25</v>
      </c>
      <c r="J106" s="1">
        <v>33.96</v>
      </c>
      <c r="M106" s="1">
        <v>2</v>
      </c>
      <c r="N106" s="1">
        <v>4</v>
      </c>
      <c r="O106" s="1">
        <f t="shared" si="33"/>
        <v>4.4488093567485061</v>
      </c>
      <c r="P106" s="1">
        <f t="shared" si="31"/>
        <v>8.6075006822691709</v>
      </c>
      <c r="Q106" s="1">
        <f t="shared" si="32"/>
        <v>4.1586913255206648</v>
      </c>
      <c r="R106" s="1">
        <v>124</v>
      </c>
      <c r="S106" s="1">
        <f>218+15</f>
        <v>233</v>
      </c>
      <c r="T106" s="1">
        <f>112+97</f>
        <v>209</v>
      </c>
      <c r="U106" s="1">
        <v>66</v>
      </c>
      <c r="V106" s="1">
        <v>75</v>
      </c>
      <c r="W106" s="1">
        <f t="shared" si="63"/>
        <v>350</v>
      </c>
      <c r="X106" s="31">
        <f t="shared" si="64"/>
        <v>0.93792438599466676</v>
      </c>
    </row>
    <row r="107" spans="1:33">
      <c r="A107" s="1">
        <v>2025</v>
      </c>
      <c r="B107" s="1">
        <v>2</v>
      </c>
      <c r="C107" s="1" t="s">
        <v>13</v>
      </c>
      <c r="D107" s="1">
        <v>11</v>
      </c>
      <c r="E107" s="1">
        <v>16</v>
      </c>
      <c r="F107" s="1" t="s">
        <v>7</v>
      </c>
      <c r="G107" s="1">
        <v>34.85</v>
      </c>
      <c r="I107" s="1">
        <v>42.15</v>
      </c>
      <c r="J107" s="1">
        <v>41.04</v>
      </c>
      <c r="M107" s="1">
        <v>3</v>
      </c>
      <c r="N107" s="1">
        <v>1</v>
      </c>
      <c r="O107" s="1">
        <f t="shared" si="33"/>
        <v>9.5388374090487744</v>
      </c>
      <c r="P107" s="1">
        <f t="shared" si="31"/>
        <v>13.588519396480685</v>
      </c>
      <c r="Q107" s="1">
        <f t="shared" si="32"/>
        <v>4.0496819874319101</v>
      </c>
      <c r="R107" s="1">
        <v>180</v>
      </c>
      <c r="S107" s="1">
        <v>417</v>
      </c>
      <c r="T107" s="1">
        <f>176+72+12+47</f>
        <v>307</v>
      </c>
      <c r="U107" s="1">
        <v>98</v>
      </c>
      <c r="V107" s="1">
        <v>63</v>
      </c>
      <c r="W107" s="1">
        <f t="shared" si="63"/>
        <v>468</v>
      </c>
      <c r="X107" s="31">
        <f t="shared" si="64"/>
        <v>3.5371184328000007</v>
      </c>
      <c r="Y107" s="1">
        <v>48</v>
      </c>
      <c r="Z107" s="1">
        <f t="shared" si="34"/>
        <v>3.5323936773002367</v>
      </c>
      <c r="AA107" s="1">
        <v>8.3800000000000008</v>
      </c>
      <c r="AB107" s="1">
        <v>3</v>
      </c>
      <c r="AC107" s="1">
        <v>4032</v>
      </c>
      <c r="AD107" s="1">
        <f>(AA107*AC107)/1000</f>
        <v>33.788160000000005</v>
      </c>
      <c r="AE107" s="1">
        <f t="shared" si="35"/>
        <v>0.61669706282866643</v>
      </c>
      <c r="AF107" s="1">
        <f>AA107/Y107*1000</f>
        <v>174.58333333333334</v>
      </c>
      <c r="AG107" s="1">
        <f>(AB107*AC107)/60</f>
        <v>201.6</v>
      </c>
    </row>
    <row r="108" spans="1:33">
      <c r="A108" s="1">
        <v>2025</v>
      </c>
      <c r="B108" s="1">
        <v>2</v>
      </c>
      <c r="C108" s="1" t="s">
        <v>13</v>
      </c>
      <c r="D108" s="1">
        <v>11</v>
      </c>
      <c r="E108" s="1">
        <v>17</v>
      </c>
      <c r="F108" s="1" t="s">
        <v>7</v>
      </c>
      <c r="G108" s="1">
        <v>35.619999999999997</v>
      </c>
      <c r="I108" s="1">
        <v>41.14</v>
      </c>
      <c r="J108" s="1">
        <v>42.8</v>
      </c>
      <c r="M108" s="1">
        <v>6</v>
      </c>
      <c r="N108" s="1">
        <v>1</v>
      </c>
      <c r="O108" s="1">
        <f t="shared" si="33"/>
        <v>9.9650093750733326</v>
      </c>
      <c r="P108" s="1">
        <f t="shared" si="31"/>
        <v>13.834638637196843</v>
      </c>
      <c r="Q108" s="1">
        <f t="shared" si="32"/>
        <v>3.8696292621235102</v>
      </c>
      <c r="R108" s="1">
        <v>189</v>
      </c>
      <c r="S108" s="1">
        <v>387</v>
      </c>
      <c r="T108" s="1">
        <f>113+117+83+35+82</f>
        <v>430</v>
      </c>
      <c r="U108" s="1">
        <v>150</v>
      </c>
      <c r="V108" s="1">
        <v>67</v>
      </c>
      <c r="W108" s="1">
        <f t="shared" si="63"/>
        <v>647</v>
      </c>
      <c r="X108" s="31">
        <f t="shared" si="64"/>
        <v>3.6191210525819999</v>
      </c>
      <c r="Y108" s="1">
        <v>39</v>
      </c>
      <c r="Z108" s="1">
        <f t="shared" si="34"/>
        <v>2.8190111084753373</v>
      </c>
      <c r="AA108" s="1">
        <v>8.1800000000000015</v>
      </c>
      <c r="AB108" s="1">
        <v>3</v>
      </c>
      <c r="AC108" s="1">
        <v>4032</v>
      </c>
      <c r="AD108" s="1">
        <f>(AA108*AC108)/1000</f>
        <v>32.981760000000008</v>
      </c>
      <c r="AE108" s="1">
        <f t="shared" si="35"/>
        <v>0.5912695094186734</v>
      </c>
      <c r="AF108" s="1">
        <f>AA108/Y108*1000</f>
        <v>209.74358974358978</v>
      </c>
      <c r="AG108" s="1">
        <f>(AB108*AC108)/60</f>
        <v>201.6</v>
      </c>
    </row>
    <row r="109" spans="1:33">
      <c r="A109" s="1">
        <v>2025</v>
      </c>
      <c r="B109" s="1">
        <v>2</v>
      </c>
      <c r="C109" s="1" t="s">
        <v>13</v>
      </c>
      <c r="D109" s="1">
        <v>11</v>
      </c>
      <c r="E109" s="1">
        <v>18</v>
      </c>
      <c r="F109" s="1" t="s">
        <v>7</v>
      </c>
      <c r="G109" s="1">
        <v>35.14</v>
      </c>
      <c r="I109" s="1">
        <v>42.85</v>
      </c>
      <c r="J109" s="1">
        <v>46.48</v>
      </c>
      <c r="M109" s="1">
        <v>0</v>
      </c>
      <c r="N109" s="1">
        <v>1</v>
      </c>
      <c r="O109" s="1">
        <f t="shared" si="33"/>
        <v>9.6982504596717192</v>
      </c>
      <c r="P109" s="1">
        <f t="shared" si="31"/>
        <v>15.668396675622871</v>
      </c>
      <c r="Q109" s="1">
        <f t="shared" si="32"/>
        <v>5.9701462159511518</v>
      </c>
      <c r="R109" s="1">
        <v>184</v>
      </c>
      <c r="S109" s="1">
        <v>417</v>
      </c>
      <c r="T109" s="1">
        <v>184</v>
      </c>
      <c r="U109" s="1">
        <f>117+78</f>
        <v>195</v>
      </c>
      <c r="V109" s="1">
        <v>72</v>
      </c>
      <c r="W109" s="1">
        <f t="shared" si="63"/>
        <v>451</v>
      </c>
      <c r="X109" s="31">
        <f t="shared" si="64"/>
        <v>3.6960704216319997</v>
      </c>
    </row>
    <row r="110" spans="1:33">
      <c r="A110" s="1">
        <v>2025</v>
      </c>
      <c r="B110" s="1">
        <v>2</v>
      </c>
      <c r="C110" s="1" t="s">
        <v>13</v>
      </c>
      <c r="D110" s="1">
        <v>11</v>
      </c>
      <c r="E110" s="1">
        <v>19</v>
      </c>
      <c r="F110" s="1" t="s">
        <v>7</v>
      </c>
      <c r="G110" s="1">
        <v>31.91</v>
      </c>
      <c r="I110" s="1">
        <v>39.090000000000003</v>
      </c>
      <c r="J110" s="1">
        <v>42.59</v>
      </c>
      <c r="M110" s="1">
        <v>2</v>
      </c>
      <c r="N110" s="1">
        <v>1</v>
      </c>
      <c r="O110" s="1">
        <f t="shared" si="33"/>
        <v>7.9973018762294119</v>
      </c>
      <c r="P110" s="1">
        <f t="shared" si="31"/>
        <v>13.099699949603192</v>
      </c>
      <c r="Q110" s="1">
        <f t="shared" si="32"/>
        <v>5.1023980733737799</v>
      </c>
      <c r="R110" s="1">
        <v>219</v>
      </c>
      <c r="S110" s="1">
        <v>293</v>
      </c>
      <c r="T110" s="1">
        <f>37+78+56+32+136+106+47</f>
        <v>492</v>
      </c>
      <c r="U110" s="1">
        <v>87</v>
      </c>
      <c r="V110" s="1">
        <v>72</v>
      </c>
      <c r="W110" s="1">
        <f t="shared" si="63"/>
        <v>651</v>
      </c>
      <c r="X110" s="31">
        <f t="shared" si="64"/>
        <v>3.678954243018</v>
      </c>
    </row>
    <row r="111" spans="1:33">
      <c r="A111" s="1">
        <v>2025</v>
      </c>
      <c r="B111" s="1">
        <v>2</v>
      </c>
      <c r="C111" s="1" t="s">
        <v>13</v>
      </c>
      <c r="D111" s="1">
        <v>11</v>
      </c>
      <c r="E111" s="1">
        <v>20</v>
      </c>
      <c r="F111" s="1" t="s">
        <v>7</v>
      </c>
      <c r="G111" s="1">
        <v>38.020000000000003</v>
      </c>
      <c r="I111" s="1">
        <v>44.23</v>
      </c>
      <c r="J111" s="1">
        <v>43.02</v>
      </c>
      <c r="M111" s="1">
        <v>4</v>
      </c>
      <c r="N111" s="1">
        <v>1</v>
      </c>
      <c r="O111" s="1">
        <f t="shared" si="33"/>
        <v>11.353090673135451</v>
      </c>
      <c r="P111" s="1">
        <f t="shared" si="31"/>
        <v>14.947231515620718</v>
      </c>
      <c r="Q111" s="1">
        <f t="shared" si="32"/>
        <v>3.5941408424852668</v>
      </c>
      <c r="R111" s="1">
        <v>188</v>
      </c>
      <c r="S111" s="1">
        <v>250</v>
      </c>
      <c r="T111" s="1">
        <f>32+48+34+89+111+66</f>
        <v>380</v>
      </c>
      <c r="U111" s="1">
        <v>111</v>
      </c>
      <c r="V111" s="1">
        <v>63</v>
      </c>
      <c r="W111" s="1">
        <f t="shared" si="63"/>
        <v>554</v>
      </c>
      <c r="X111" s="31">
        <f t="shared" si="64"/>
        <v>2.3132589093333338</v>
      </c>
      <c r="Y111" s="1">
        <v>27</v>
      </c>
      <c r="Z111" s="1">
        <f t="shared" si="34"/>
        <v>1.8063545728707986</v>
      </c>
      <c r="AA111" s="1">
        <v>6.22</v>
      </c>
      <c r="AB111" s="1">
        <v>3</v>
      </c>
      <c r="AC111" s="1">
        <v>4032</v>
      </c>
      <c r="AD111" s="1">
        <f>(AA111*AC111)/1000</f>
        <v>25.079039999999996</v>
      </c>
      <c r="AE111" s="1">
        <f t="shared" si="35"/>
        <v>0.41613057197245801</v>
      </c>
      <c r="AF111" s="1">
        <f>AA111/Y111*1000</f>
        <v>230.37037037037035</v>
      </c>
      <c r="AG111" s="1">
        <f>(AB111*AC111)/60</f>
        <v>201.6</v>
      </c>
    </row>
    <row r="112" spans="1:33">
      <c r="A112" s="1">
        <v>2025</v>
      </c>
      <c r="B112" s="1">
        <v>2</v>
      </c>
      <c r="C112" s="1" t="s">
        <v>13</v>
      </c>
      <c r="D112" s="1">
        <v>11</v>
      </c>
      <c r="E112" s="1">
        <v>22</v>
      </c>
      <c r="F112" s="1" t="s">
        <v>7</v>
      </c>
      <c r="G112" s="1">
        <v>34.229999999999997</v>
      </c>
      <c r="I112" s="1">
        <v>40.770000000000003</v>
      </c>
      <c r="J112" s="1">
        <v>38.82</v>
      </c>
      <c r="M112" s="1">
        <v>3</v>
      </c>
      <c r="N112" s="1">
        <v>1</v>
      </c>
      <c r="O112" s="1">
        <f t="shared" si="33"/>
        <v>9.2024545172582979</v>
      </c>
      <c r="P112" s="1">
        <f t="shared" si="31"/>
        <v>12.43789537914016</v>
      </c>
      <c r="Q112" s="1">
        <f t="shared" si="32"/>
        <v>3.2354408618818624</v>
      </c>
      <c r="R112" s="1">
        <v>166</v>
      </c>
      <c r="S112" s="1">
        <v>295</v>
      </c>
      <c r="T112" s="1">
        <v>74</v>
      </c>
      <c r="U112" s="1">
        <f>134+75+23+37+29+5</f>
        <v>303</v>
      </c>
      <c r="V112" s="1">
        <v>114</v>
      </c>
      <c r="W112" s="1">
        <f t="shared" si="63"/>
        <v>491</v>
      </c>
      <c r="X112" s="31">
        <f t="shared" si="64"/>
        <v>2.1281720166533331</v>
      </c>
    </row>
    <row r="113" spans="1:33">
      <c r="A113" s="1">
        <v>2025</v>
      </c>
      <c r="B113" s="1">
        <v>3</v>
      </c>
      <c r="C113" s="1" t="s">
        <v>13</v>
      </c>
      <c r="D113" s="1">
        <v>11</v>
      </c>
      <c r="E113" s="1">
        <v>28</v>
      </c>
      <c r="F113" s="1" t="s">
        <v>8</v>
      </c>
      <c r="G113" s="1">
        <v>25.61</v>
      </c>
      <c r="I113" s="1">
        <v>35.81</v>
      </c>
      <c r="J113" s="1">
        <v>36.729999999999997</v>
      </c>
      <c r="M113" s="1">
        <v>0</v>
      </c>
      <c r="N113" s="1">
        <v>2</v>
      </c>
      <c r="O113" s="1">
        <f t="shared" si="33"/>
        <v>5.1512074276362751</v>
      </c>
      <c r="P113" s="1">
        <f t="shared" si="31"/>
        <v>10.332014155856509</v>
      </c>
      <c r="Q113" s="1">
        <f t="shared" si="32"/>
        <v>5.1808067282202339</v>
      </c>
      <c r="R113" s="1">
        <v>115</v>
      </c>
      <c r="S113" s="1">
        <v>370</v>
      </c>
      <c r="T113" s="1">
        <f>60+94+28</f>
        <v>182</v>
      </c>
      <c r="U113" s="1">
        <v>84</v>
      </c>
      <c r="V113" s="1">
        <v>104</v>
      </c>
      <c r="W113" s="1">
        <f t="shared" si="63"/>
        <v>370</v>
      </c>
      <c r="X113" s="31">
        <f t="shared" si="64"/>
        <v>1.2810495878333332</v>
      </c>
    </row>
    <row r="114" spans="1:33">
      <c r="A114" s="1">
        <v>2025</v>
      </c>
      <c r="B114" s="1">
        <v>3</v>
      </c>
      <c r="C114" s="1" t="s">
        <v>13</v>
      </c>
      <c r="D114" s="1">
        <v>11</v>
      </c>
      <c r="E114" s="1">
        <v>29</v>
      </c>
      <c r="F114" s="1" t="s">
        <v>8</v>
      </c>
      <c r="G114" s="1">
        <v>24.69</v>
      </c>
      <c r="I114" s="1">
        <v>34.24</v>
      </c>
      <c r="J114" s="1">
        <v>34.99</v>
      </c>
      <c r="M114" s="1">
        <v>0</v>
      </c>
      <c r="N114" s="1">
        <v>2</v>
      </c>
      <c r="O114" s="1">
        <f t="shared" si="33"/>
        <v>4.7877565735424739</v>
      </c>
      <c r="P114" s="1">
        <f t="shared" si="31"/>
        <v>9.4106268530108252</v>
      </c>
      <c r="Q114" s="1">
        <f t="shared" si="32"/>
        <v>4.6228702794683514</v>
      </c>
      <c r="R114" s="1">
        <v>108</v>
      </c>
      <c r="S114" s="1">
        <v>321</v>
      </c>
      <c r="T114" s="1">
        <f>174+80</f>
        <v>254</v>
      </c>
      <c r="U114" s="1">
        <v>63</v>
      </c>
      <c r="V114" s="1">
        <v>49</v>
      </c>
      <c r="W114" s="1">
        <f t="shared" si="63"/>
        <v>366</v>
      </c>
      <c r="X114" s="31">
        <f t="shared" si="64"/>
        <v>0.9802144031040001</v>
      </c>
    </row>
    <row r="115" spans="1:33">
      <c r="A115" s="1">
        <v>2025</v>
      </c>
      <c r="B115" s="1">
        <v>3</v>
      </c>
      <c r="C115" s="1" t="s">
        <v>13</v>
      </c>
      <c r="D115" s="1">
        <v>11</v>
      </c>
      <c r="E115" s="1">
        <v>30</v>
      </c>
      <c r="F115" s="1" t="s">
        <v>8</v>
      </c>
      <c r="G115" s="1">
        <v>23.67</v>
      </c>
      <c r="I115" s="1">
        <v>33.630000000000003</v>
      </c>
      <c r="J115" s="1">
        <v>32.72</v>
      </c>
      <c r="M115" s="1">
        <v>0</v>
      </c>
      <c r="N115" s="1">
        <v>2</v>
      </c>
      <c r="O115" s="1">
        <f t="shared" si="33"/>
        <v>4.4003416506870856</v>
      </c>
      <c r="P115" s="1">
        <f t="shared" si="31"/>
        <v>8.6439400154581563</v>
      </c>
      <c r="Q115" s="1">
        <f t="shared" si="32"/>
        <v>4.2435983647710707</v>
      </c>
      <c r="R115" s="1">
        <v>120</v>
      </c>
      <c r="S115" s="1">
        <v>326</v>
      </c>
      <c r="T115" s="1">
        <f>88+48</f>
        <v>136</v>
      </c>
      <c r="U115" s="1">
        <v>47</v>
      </c>
      <c r="V115" s="1">
        <v>90</v>
      </c>
      <c r="W115" s="1">
        <f t="shared" si="63"/>
        <v>273</v>
      </c>
      <c r="X115" s="31">
        <f t="shared" si="64"/>
        <v>1.2289907904000001</v>
      </c>
      <c r="Y115" s="1">
        <v>11</v>
      </c>
      <c r="Z115" s="1">
        <f t="shared" si="34"/>
        <v>1.2725678313741706</v>
      </c>
      <c r="AA115" s="1">
        <v>2.08</v>
      </c>
      <c r="AB115" s="1">
        <v>0.5</v>
      </c>
      <c r="AC115" s="1">
        <v>4032</v>
      </c>
      <c r="AD115" s="1">
        <f>(AA115*AC115)/1000</f>
        <v>8.3865599999999993</v>
      </c>
      <c r="AE115" s="1">
        <f t="shared" si="35"/>
        <v>0.24063100811438862</v>
      </c>
      <c r="AF115" s="1">
        <f>AA115/Y115*1000</f>
        <v>189.09090909090909</v>
      </c>
      <c r="AG115" s="1">
        <f>(AB115*AC115)/60</f>
        <v>33.6</v>
      </c>
    </row>
    <row r="116" spans="1:33">
      <c r="A116" s="1">
        <v>2025</v>
      </c>
      <c r="B116" s="1">
        <v>3</v>
      </c>
      <c r="C116" s="1" t="s">
        <v>13</v>
      </c>
      <c r="D116" s="1">
        <v>11</v>
      </c>
      <c r="E116" s="1">
        <v>31</v>
      </c>
      <c r="F116" s="1" t="s">
        <v>8</v>
      </c>
      <c r="G116" s="1">
        <v>29.65</v>
      </c>
      <c r="I116" s="1">
        <v>35.799999999999997</v>
      </c>
      <c r="J116" s="1">
        <v>36.9</v>
      </c>
      <c r="M116" s="1">
        <v>0</v>
      </c>
      <c r="N116" s="1">
        <v>2</v>
      </c>
      <c r="O116" s="1">
        <f t="shared" si="33"/>
        <v>6.9046119690137315</v>
      </c>
      <c r="P116" s="1">
        <f t="shared" si="31"/>
        <v>10.377642647557245</v>
      </c>
      <c r="Q116" s="1">
        <f t="shared" si="32"/>
        <v>3.4730306785435134</v>
      </c>
      <c r="R116" s="1">
        <v>150</v>
      </c>
      <c r="S116" s="1">
        <v>337</v>
      </c>
      <c r="T116" s="1">
        <v>113</v>
      </c>
      <c r="U116" s="1">
        <f>117+72+122+30+36+35</f>
        <v>412</v>
      </c>
      <c r="V116" s="1">
        <v>57</v>
      </c>
      <c r="W116" s="1">
        <f t="shared" si="63"/>
        <v>582</v>
      </c>
      <c r="X116" s="31">
        <f t="shared" si="64"/>
        <v>1.9850934450000004</v>
      </c>
      <c r="Y116" s="1">
        <v>0</v>
      </c>
      <c r="Z116" s="1">
        <v>0</v>
      </c>
      <c r="AA116" s="1">
        <v>0</v>
      </c>
      <c r="AB116" s="1">
        <v>0</v>
      </c>
      <c r="AC116" s="1">
        <v>4032</v>
      </c>
      <c r="AD116" s="1">
        <f>(AA116*AC116)/1000</f>
        <v>0</v>
      </c>
      <c r="AF116" s="1">
        <v>0</v>
      </c>
      <c r="AG116" s="1">
        <f>(AB116*AC116)/60</f>
        <v>0</v>
      </c>
    </row>
    <row r="117" spans="1:33">
      <c r="A117" s="1">
        <v>2025</v>
      </c>
      <c r="B117" s="1">
        <v>3</v>
      </c>
      <c r="C117" s="1" t="s">
        <v>13</v>
      </c>
      <c r="D117" s="1">
        <v>11</v>
      </c>
      <c r="E117" s="1">
        <v>32</v>
      </c>
      <c r="F117" s="1" t="s">
        <v>8</v>
      </c>
      <c r="G117" s="1">
        <v>23.05</v>
      </c>
      <c r="I117" s="1">
        <v>32.31</v>
      </c>
      <c r="J117" s="1">
        <v>34.5</v>
      </c>
      <c r="M117" s="1">
        <v>0</v>
      </c>
      <c r="N117" s="1">
        <v>2</v>
      </c>
      <c r="O117" s="1">
        <f t="shared" si="33"/>
        <v>4.1728400770847278</v>
      </c>
      <c r="P117" s="1">
        <f t="shared" si="31"/>
        <v>8.7642111778118625</v>
      </c>
      <c r="Q117" s="1">
        <f t="shared" si="32"/>
        <v>4.5913711007271347</v>
      </c>
      <c r="R117" s="1">
        <v>129</v>
      </c>
      <c r="S117" s="1">
        <v>331</v>
      </c>
      <c r="T117" s="1">
        <v>68</v>
      </c>
      <c r="U117" s="1">
        <v>115</v>
      </c>
      <c r="V117" s="1">
        <f>10+15+128</f>
        <v>153</v>
      </c>
      <c r="W117" s="1">
        <f t="shared" si="63"/>
        <v>336</v>
      </c>
      <c r="X117" s="31">
        <f t="shared" si="64"/>
        <v>1.4420354956860002</v>
      </c>
      <c r="Y117" s="1">
        <v>3</v>
      </c>
      <c r="Z117" s="1">
        <f t="shared" si="34"/>
        <v>0.34230119963277766</v>
      </c>
      <c r="AA117" s="1">
        <v>0.74</v>
      </c>
      <c r="AB117" s="1">
        <v>0.5</v>
      </c>
      <c r="AC117" s="1">
        <v>4032</v>
      </c>
      <c r="AD117" s="1">
        <f>(AA117*AC117)/1000</f>
        <v>2.9836799999999997</v>
      </c>
      <c r="AE117" s="1">
        <f t="shared" si="35"/>
        <v>8.4434295909418491E-2</v>
      </c>
      <c r="AF117" s="1">
        <f t="shared" ref="AF117" si="65">AA117/Y117*1000</f>
        <v>246.66666666666669</v>
      </c>
      <c r="AG117" s="1">
        <f>(AB117*AC117)/60</f>
        <v>33.6</v>
      </c>
    </row>
    <row r="118" spans="1:33">
      <c r="A118" s="1">
        <v>2025</v>
      </c>
      <c r="B118" s="1">
        <v>3</v>
      </c>
      <c r="C118" s="1" t="s">
        <v>13</v>
      </c>
      <c r="D118" s="1">
        <v>11</v>
      </c>
      <c r="E118" s="1">
        <v>33</v>
      </c>
      <c r="F118" s="1" t="s">
        <v>8</v>
      </c>
      <c r="G118" s="1">
        <v>26.4</v>
      </c>
      <c r="I118" s="1">
        <v>33.58</v>
      </c>
      <c r="J118" s="1">
        <v>36.76</v>
      </c>
      <c r="M118" s="1">
        <v>0</v>
      </c>
      <c r="N118" s="1">
        <v>2</v>
      </c>
      <c r="O118" s="1">
        <f t="shared" si="33"/>
        <v>5.4739110396148538</v>
      </c>
      <c r="P118" s="1">
        <f t="shared" si="31"/>
        <v>9.7148168631322616</v>
      </c>
      <c r="Q118" s="1">
        <f t="shared" si="32"/>
        <v>4.2409058235174077</v>
      </c>
      <c r="R118" s="1">
        <v>154</v>
      </c>
      <c r="S118" s="1">
        <v>334</v>
      </c>
      <c r="T118" s="1">
        <f>40+110+52</f>
        <v>202</v>
      </c>
      <c r="U118" s="1">
        <v>212</v>
      </c>
      <c r="V118" s="1">
        <v>55</v>
      </c>
      <c r="W118" s="1">
        <f t="shared" si="63"/>
        <v>469</v>
      </c>
      <c r="X118" s="31">
        <f t="shared" si="64"/>
        <v>2.0737502184373335</v>
      </c>
    </row>
    <row r="119" spans="1:33">
      <c r="A119" s="1">
        <v>2025</v>
      </c>
      <c r="B119" s="1">
        <v>4</v>
      </c>
      <c r="C119" s="1" t="s">
        <v>13</v>
      </c>
      <c r="D119" s="1">
        <v>11</v>
      </c>
      <c r="E119" s="1">
        <v>40</v>
      </c>
      <c r="F119" s="1" t="s">
        <v>6</v>
      </c>
      <c r="G119" s="1">
        <v>34.729999999999997</v>
      </c>
      <c r="I119" s="1">
        <v>36.19</v>
      </c>
      <c r="J119" s="1">
        <v>34.21</v>
      </c>
      <c r="M119" s="1">
        <v>3</v>
      </c>
      <c r="N119" s="1">
        <v>3</v>
      </c>
      <c r="O119" s="1">
        <f t="shared" si="33"/>
        <v>9.47325980399774</v>
      </c>
      <c r="P119" s="1">
        <f t="shared" si="31"/>
        <v>9.731397403759745</v>
      </c>
      <c r="Q119" s="1">
        <f t="shared" si="32"/>
        <v>0.25813759976200501</v>
      </c>
      <c r="R119" s="1">
        <v>137</v>
      </c>
      <c r="S119" s="1">
        <v>336</v>
      </c>
      <c r="T119" s="1">
        <f>77+16+28</f>
        <v>121</v>
      </c>
      <c r="U119" s="1">
        <v>68</v>
      </c>
      <c r="V119" s="1">
        <v>78</v>
      </c>
      <c r="W119" s="1">
        <f t="shared" si="63"/>
        <v>267</v>
      </c>
      <c r="X119" s="31">
        <f t="shared" si="64"/>
        <v>1.6510071269440001</v>
      </c>
    </row>
    <row r="120" spans="1:33">
      <c r="A120" s="1">
        <v>2025</v>
      </c>
      <c r="B120" s="1">
        <v>4</v>
      </c>
      <c r="C120" s="1" t="s">
        <v>13</v>
      </c>
      <c r="D120" s="1">
        <v>11</v>
      </c>
      <c r="E120" s="1">
        <v>41</v>
      </c>
      <c r="F120" s="1" t="s">
        <v>6</v>
      </c>
      <c r="G120" s="1">
        <v>32.31</v>
      </c>
      <c r="I120" s="1">
        <v>38.46</v>
      </c>
      <c r="J120" s="1">
        <v>34.53</v>
      </c>
      <c r="M120" s="1">
        <v>10</v>
      </c>
      <c r="N120" s="1">
        <v>6</v>
      </c>
      <c r="O120" s="1">
        <f t="shared" si="33"/>
        <v>8.19905495644295</v>
      </c>
      <c r="P120" s="1">
        <f t="shared" si="31"/>
        <v>10.460600524915648</v>
      </c>
      <c r="Q120" s="1">
        <f t="shared" si="32"/>
        <v>2.2615455684726982</v>
      </c>
      <c r="R120" s="1">
        <v>140</v>
      </c>
      <c r="S120" s="1">
        <v>284</v>
      </c>
      <c r="T120" s="1">
        <f>116+93+61+116+20</f>
        <v>406</v>
      </c>
      <c r="U120" s="1">
        <f>74+33+20</f>
        <v>127</v>
      </c>
      <c r="V120" s="1">
        <v>106</v>
      </c>
      <c r="W120" s="1">
        <f t="shared" si="63"/>
        <v>639</v>
      </c>
      <c r="X120" s="31">
        <f t="shared" si="64"/>
        <v>1.4572798090666665</v>
      </c>
      <c r="Y120" s="1">
        <v>9</v>
      </c>
      <c r="Z120" s="1">
        <f t="shared" si="34"/>
        <v>0.86037125483984334</v>
      </c>
      <c r="AA120" s="1">
        <v>1.9999999999999998</v>
      </c>
      <c r="AB120" s="1">
        <v>1</v>
      </c>
      <c r="AC120" s="1">
        <v>4032</v>
      </c>
      <c r="AD120" s="1">
        <f>(AA120*AC120)/1000</f>
        <v>8.0639999999999983</v>
      </c>
      <c r="AE120" s="1">
        <f t="shared" si="35"/>
        <v>0.19119361218663183</v>
      </c>
      <c r="AF120" s="1">
        <f>AA120/Y120*1000</f>
        <v>222.2222222222222</v>
      </c>
      <c r="AG120" s="1">
        <f>(AB120*AC120)/60</f>
        <v>67.2</v>
      </c>
    </row>
    <row r="121" spans="1:33">
      <c r="A121" s="1">
        <v>2025</v>
      </c>
      <c r="B121" s="1">
        <v>4</v>
      </c>
      <c r="C121" s="1" t="s">
        <v>13</v>
      </c>
      <c r="D121" s="1">
        <v>11</v>
      </c>
      <c r="E121" s="1">
        <v>42</v>
      </c>
      <c r="F121" s="1" t="s">
        <v>6</v>
      </c>
      <c r="G121" s="1">
        <v>33.630000000000003</v>
      </c>
      <c r="I121" s="1">
        <v>37.31</v>
      </c>
      <c r="J121" s="1">
        <v>34.67</v>
      </c>
      <c r="M121" s="1">
        <v>0</v>
      </c>
      <c r="N121" s="1">
        <v>5</v>
      </c>
      <c r="O121" s="1">
        <f t="shared" si="33"/>
        <v>8.8826718010493977</v>
      </c>
      <c r="P121" s="1">
        <f t="shared" si="31"/>
        <v>10.173106116252633</v>
      </c>
      <c r="Q121" s="1">
        <f t="shared" si="32"/>
        <v>1.2904343152032354</v>
      </c>
      <c r="R121" s="1">
        <v>135</v>
      </c>
      <c r="S121" s="1">
        <f>296+50</f>
        <v>346</v>
      </c>
      <c r="T121" s="1">
        <v>77</v>
      </c>
      <c r="U121" s="1">
        <f>62+52+34</f>
        <v>148</v>
      </c>
      <c r="V121" s="1">
        <v>38</v>
      </c>
      <c r="W121" s="1">
        <f t="shared" si="63"/>
        <v>263</v>
      </c>
      <c r="X121" s="31">
        <f t="shared" si="64"/>
        <v>1.6508673261000002</v>
      </c>
      <c r="Y121" s="1">
        <v>15</v>
      </c>
      <c r="Z121" s="1">
        <f t="shared" si="34"/>
        <v>1.4744759199981099</v>
      </c>
      <c r="AA121" s="1">
        <v>3.3999999999999995</v>
      </c>
      <c r="AB121" s="1">
        <v>1</v>
      </c>
      <c r="AC121" s="1">
        <v>4032</v>
      </c>
      <c r="AD121" s="1">
        <f>(AA121*AC121)/1000</f>
        <v>13.708799999999998</v>
      </c>
      <c r="AE121" s="1">
        <f t="shared" si="35"/>
        <v>0.33421454186623817</v>
      </c>
      <c r="AF121" s="1">
        <f>AA121/Y121*1000</f>
        <v>226.66666666666663</v>
      </c>
      <c r="AG121" s="1">
        <f>(AB121*AC121)/60</f>
        <v>67.2</v>
      </c>
    </row>
    <row r="122" spans="1:33">
      <c r="A122" s="1">
        <v>2025</v>
      </c>
      <c r="B122" s="1">
        <v>4</v>
      </c>
      <c r="C122" s="1" t="s">
        <v>13</v>
      </c>
      <c r="D122" s="1">
        <v>11</v>
      </c>
      <c r="E122" s="1">
        <v>43</v>
      </c>
      <c r="F122" s="1" t="s">
        <v>6</v>
      </c>
      <c r="G122" s="1">
        <v>29.18</v>
      </c>
      <c r="I122" s="1">
        <v>32.979999999999997</v>
      </c>
      <c r="J122" s="1">
        <v>30.43</v>
      </c>
      <c r="M122" s="1">
        <v>19</v>
      </c>
      <c r="N122" s="1">
        <v>5</v>
      </c>
      <c r="O122" s="1">
        <f t="shared" si="33"/>
        <v>6.6874485914361754</v>
      </c>
      <c r="P122" s="1">
        <f t="shared" si="31"/>
        <v>7.8948775126921271</v>
      </c>
      <c r="Q122" s="1">
        <f t="shared" si="32"/>
        <v>1.2074289212559517</v>
      </c>
      <c r="R122" s="1">
        <v>147</v>
      </c>
      <c r="S122" s="1">
        <v>286</v>
      </c>
      <c r="T122" s="1">
        <f>30+15+22+11+38+53+29+94</f>
        <v>292</v>
      </c>
      <c r="U122" s="1">
        <v>46</v>
      </c>
      <c r="V122" s="1">
        <v>44</v>
      </c>
      <c r="W122" s="1">
        <f t="shared" si="63"/>
        <v>382</v>
      </c>
      <c r="X122" s="31">
        <f t="shared" si="64"/>
        <v>1.6179654330839999</v>
      </c>
      <c r="Y122" s="1">
        <v>26</v>
      </c>
      <c r="Z122" s="1">
        <f t="shared" si="34"/>
        <v>3.2932746528621046</v>
      </c>
      <c r="AA122" s="1">
        <v>5.54</v>
      </c>
      <c r="AB122" s="1">
        <v>2</v>
      </c>
      <c r="AC122" s="1">
        <v>4032</v>
      </c>
      <c r="AD122" s="1">
        <f>(AA122*AC122)/1000</f>
        <v>22.33728</v>
      </c>
      <c r="AE122" s="1">
        <f t="shared" si="35"/>
        <v>0.70172082987907924</v>
      </c>
      <c r="AF122" s="1">
        <f>AA122/Y122*1000</f>
        <v>213.07692307692309</v>
      </c>
      <c r="AG122" s="1">
        <f>(AB122*AC122)/60</f>
        <v>134.4</v>
      </c>
    </row>
    <row r="123" spans="1:33">
      <c r="A123" s="1">
        <v>2025</v>
      </c>
      <c r="B123" s="1">
        <v>4</v>
      </c>
      <c r="C123" s="1" t="s">
        <v>13</v>
      </c>
      <c r="D123" s="1">
        <v>11</v>
      </c>
      <c r="E123" s="1">
        <v>44</v>
      </c>
      <c r="F123" s="1" t="s">
        <v>6</v>
      </c>
      <c r="G123" s="1">
        <v>32.65</v>
      </c>
      <c r="I123" s="1">
        <v>39.72</v>
      </c>
      <c r="J123" s="1">
        <v>40.69</v>
      </c>
      <c r="M123" s="1">
        <v>5</v>
      </c>
      <c r="N123" s="1">
        <v>5</v>
      </c>
      <c r="O123" s="1">
        <f t="shared" si="33"/>
        <v>8.3725211364035612</v>
      </c>
      <c r="P123" s="1">
        <f t="shared" si="31"/>
        <v>12.695505976734523</v>
      </c>
      <c r="Q123" s="1">
        <f t="shared" si="32"/>
        <v>4.3229848403309621</v>
      </c>
      <c r="R123" s="1">
        <v>153</v>
      </c>
      <c r="S123" s="1">
        <v>350</v>
      </c>
      <c r="T123" s="1">
        <v>65</v>
      </c>
      <c r="U123" s="1">
        <f>36+31+133+48+63+17+30+72</f>
        <v>430</v>
      </c>
      <c r="V123" s="1">
        <v>78</v>
      </c>
      <c r="W123" s="1">
        <f t="shared" si="63"/>
        <v>573</v>
      </c>
      <c r="X123" s="31">
        <f t="shared" si="64"/>
        <v>2.1449612079000002</v>
      </c>
    </row>
    <row r="124" spans="1:33">
      <c r="A124" s="1">
        <v>2025</v>
      </c>
      <c r="B124" s="1">
        <v>4</v>
      </c>
      <c r="C124" s="1" t="s">
        <v>13</v>
      </c>
      <c r="D124" s="1">
        <v>11</v>
      </c>
      <c r="E124" s="1">
        <v>46</v>
      </c>
      <c r="F124" s="1" t="s">
        <v>6</v>
      </c>
      <c r="G124" s="1">
        <v>21.76</v>
      </c>
      <c r="I124" s="1">
        <v>25.89</v>
      </c>
      <c r="J124" s="1">
        <v>27.68</v>
      </c>
      <c r="M124" s="1">
        <v>6</v>
      </c>
      <c r="N124" s="1">
        <v>6</v>
      </c>
      <c r="O124" s="1">
        <f t="shared" si="33"/>
        <v>3.7188414541309966</v>
      </c>
      <c r="P124" s="1">
        <f t="shared" si="31"/>
        <v>5.634730934697985</v>
      </c>
      <c r="Q124" s="1">
        <f t="shared" si="32"/>
        <v>1.9158894805669884</v>
      </c>
      <c r="R124" s="1">
        <v>115</v>
      </c>
      <c r="S124" s="1">
        <f>140+85</f>
        <v>225</v>
      </c>
      <c r="T124" s="1">
        <f>52+33+25</f>
        <v>110</v>
      </c>
      <c r="U124" s="1">
        <v>27</v>
      </c>
      <c r="V124" s="1">
        <v>64</v>
      </c>
      <c r="W124" s="1">
        <f t="shared" si="63"/>
        <v>201</v>
      </c>
      <c r="X124" s="31">
        <f t="shared" si="64"/>
        <v>0.77901664125000003</v>
      </c>
    </row>
    <row r="125" spans="1:33">
      <c r="A125" s="1">
        <v>2025</v>
      </c>
      <c r="B125" s="1">
        <v>5</v>
      </c>
      <c r="C125" s="1" t="s">
        <v>13</v>
      </c>
      <c r="D125" s="1">
        <v>11</v>
      </c>
      <c r="E125" s="1">
        <v>52</v>
      </c>
      <c r="F125" s="1" t="s">
        <v>9</v>
      </c>
      <c r="G125" s="1">
        <v>29.36</v>
      </c>
      <c r="I125" s="1">
        <v>32.97</v>
      </c>
      <c r="J125" s="1">
        <v>35.44</v>
      </c>
      <c r="M125" s="1">
        <v>7</v>
      </c>
      <c r="N125" s="1">
        <v>5</v>
      </c>
      <c r="O125" s="1">
        <f t="shared" si="33"/>
        <v>6.7702075667096908</v>
      </c>
      <c r="P125" s="1">
        <f t="shared" si="31"/>
        <v>9.1890173364302736</v>
      </c>
      <c r="Q125" s="1">
        <f t="shared" si="32"/>
        <v>2.4188097697205828</v>
      </c>
      <c r="R125" s="1">
        <v>119</v>
      </c>
      <c r="S125" s="1">
        <v>316</v>
      </c>
      <c r="T125" s="1">
        <f>73+25+37+26+34</f>
        <v>195</v>
      </c>
      <c r="U125" s="1">
        <v>37</v>
      </c>
      <c r="V125" s="1">
        <f>57+18+10</f>
        <v>85</v>
      </c>
      <c r="W125" s="1">
        <f t="shared" si="63"/>
        <v>317</v>
      </c>
      <c r="X125" s="31">
        <f t="shared" si="64"/>
        <v>1.1715195535493332</v>
      </c>
      <c r="Y125" s="1">
        <v>12</v>
      </c>
      <c r="Z125" s="1">
        <f t="shared" si="34"/>
        <v>1.3059067755183635</v>
      </c>
      <c r="AA125" s="1">
        <v>2.58</v>
      </c>
      <c r="AB125" s="1">
        <v>1</v>
      </c>
      <c r="AC125" s="1">
        <v>4032</v>
      </c>
      <c r="AD125" s="1">
        <f>(AA125*AC125)/1000</f>
        <v>10.402559999999999</v>
      </c>
      <c r="AE125" s="1">
        <f t="shared" si="35"/>
        <v>0.28076995673644817</v>
      </c>
      <c r="AF125" s="1">
        <f>AA125/Y125*1000</f>
        <v>215</v>
      </c>
      <c r="AG125" s="1">
        <f>(AB125*AC125)/60</f>
        <v>67.2</v>
      </c>
    </row>
    <row r="126" spans="1:33">
      <c r="A126" s="1">
        <v>2025</v>
      </c>
      <c r="B126" s="1">
        <v>5</v>
      </c>
      <c r="C126" s="1" t="s">
        <v>13</v>
      </c>
      <c r="D126" s="1">
        <v>11</v>
      </c>
      <c r="E126" s="1">
        <v>53</v>
      </c>
      <c r="F126" s="1" t="s">
        <v>9</v>
      </c>
      <c r="G126" s="1">
        <v>25.64</v>
      </c>
      <c r="I126" s="1">
        <v>31.86</v>
      </c>
      <c r="J126" s="1">
        <v>31.1</v>
      </c>
      <c r="M126" s="1">
        <v>7</v>
      </c>
      <c r="N126" s="1">
        <v>4</v>
      </c>
      <c r="O126" s="1">
        <f t="shared" si="33"/>
        <v>5.1632829243985112</v>
      </c>
      <c r="P126" s="1">
        <f t="shared" si="31"/>
        <v>7.7832204010450274</v>
      </c>
      <c r="Q126" s="1">
        <f t="shared" si="32"/>
        <v>2.6199374766465162</v>
      </c>
      <c r="R126" s="1">
        <v>109</v>
      </c>
      <c r="S126" s="1">
        <v>336</v>
      </c>
      <c r="T126" s="1">
        <f>85+10+15+74+63</f>
        <v>247</v>
      </c>
      <c r="U126" s="1">
        <v>40</v>
      </c>
      <c r="V126" s="1">
        <v>49</v>
      </c>
      <c r="W126" s="1">
        <f t="shared" si="63"/>
        <v>336</v>
      </c>
      <c r="X126" s="31">
        <f t="shared" si="64"/>
        <v>1.045107127456</v>
      </c>
      <c r="Y126" s="1">
        <v>5</v>
      </c>
      <c r="Z126" s="1">
        <f t="shared" si="34"/>
        <v>0.64240760795218732</v>
      </c>
      <c r="AA126" s="1">
        <v>0.8</v>
      </c>
      <c r="AB126" s="1">
        <v>0.5</v>
      </c>
      <c r="AC126" s="1">
        <v>4032</v>
      </c>
      <c r="AD126" s="1">
        <f>(AA126*AC126)/1000</f>
        <v>3.2256000000000005</v>
      </c>
      <c r="AE126" s="1">
        <f t="shared" si="35"/>
        <v>0.10278521727234997</v>
      </c>
      <c r="AF126" s="1">
        <f>AA126/Y126*1000</f>
        <v>160</v>
      </c>
      <c r="AG126" s="1">
        <f>(AB126*AC126)/60</f>
        <v>33.6</v>
      </c>
    </row>
    <row r="127" spans="1:33">
      <c r="A127" s="1">
        <v>2025</v>
      </c>
      <c r="B127" s="1">
        <v>5</v>
      </c>
      <c r="C127" s="1" t="s">
        <v>13</v>
      </c>
      <c r="D127" s="1">
        <v>11</v>
      </c>
      <c r="E127" s="1">
        <v>54</v>
      </c>
      <c r="F127" s="1" t="s">
        <v>9</v>
      </c>
      <c r="G127" s="1">
        <v>24.7</v>
      </c>
      <c r="I127" s="1">
        <v>29.31</v>
      </c>
      <c r="J127" s="1">
        <v>28.76</v>
      </c>
      <c r="M127" s="1">
        <v>3</v>
      </c>
      <c r="N127" s="1">
        <v>1</v>
      </c>
      <c r="O127" s="1">
        <f t="shared" si="33"/>
        <v>4.7916356550714907</v>
      </c>
      <c r="P127" s="1">
        <f t="shared" si="31"/>
        <v>6.6211517580170112</v>
      </c>
      <c r="Q127" s="1">
        <f t="shared" si="32"/>
        <v>1.8295161029455205</v>
      </c>
      <c r="R127" s="1">
        <v>140</v>
      </c>
      <c r="S127" s="1">
        <v>266</v>
      </c>
      <c r="T127" s="1">
        <f>124+101+57</f>
        <v>282</v>
      </c>
      <c r="U127" s="1">
        <v>89</v>
      </c>
      <c r="V127" s="1">
        <v>85</v>
      </c>
      <c r="W127" s="1">
        <f t="shared" si="63"/>
        <v>456</v>
      </c>
      <c r="X127" s="31">
        <f t="shared" si="64"/>
        <v>1.3649170042666667</v>
      </c>
      <c r="Y127" s="1">
        <v>5</v>
      </c>
      <c r="Z127" s="1">
        <f t="shared" si="34"/>
        <v>0.75515562589936247</v>
      </c>
      <c r="AA127" s="1">
        <v>0.99999999999999978</v>
      </c>
      <c r="AB127" s="1">
        <v>0.5</v>
      </c>
      <c r="AC127" s="1">
        <v>4032</v>
      </c>
      <c r="AD127" s="1">
        <f>(AA127*AC127)/1000</f>
        <v>4.0319999999999991</v>
      </c>
      <c r="AE127" s="1">
        <f t="shared" si="35"/>
        <v>0.15103112517987247</v>
      </c>
      <c r="AF127" s="1">
        <f>AA127/Y127*1000</f>
        <v>199.99999999999994</v>
      </c>
      <c r="AG127" s="1">
        <f>(AB127*AC127)/60</f>
        <v>33.6</v>
      </c>
    </row>
    <row r="128" spans="1:33">
      <c r="A128" s="1">
        <v>2025</v>
      </c>
      <c r="B128" s="1">
        <v>5</v>
      </c>
      <c r="C128" s="1" t="s">
        <v>13</v>
      </c>
      <c r="D128" s="1">
        <v>11</v>
      </c>
      <c r="E128" s="1">
        <v>55</v>
      </c>
      <c r="F128" s="1" t="s">
        <v>9</v>
      </c>
      <c r="G128" s="1">
        <v>28.08</v>
      </c>
      <c r="I128" s="1">
        <v>32.729999999999997</v>
      </c>
      <c r="J128" s="1">
        <v>31.84</v>
      </c>
      <c r="M128" s="1">
        <v>2</v>
      </c>
      <c r="N128" s="1">
        <v>4</v>
      </c>
      <c r="O128" s="1">
        <f t="shared" si="33"/>
        <v>6.192757704238657</v>
      </c>
      <c r="P128" s="1">
        <f t="shared" si="31"/>
        <v>8.1863717578517825</v>
      </c>
      <c r="Q128" s="1">
        <f t="shared" si="32"/>
        <v>1.9936140536131255</v>
      </c>
      <c r="R128" s="1">
        <v>122</v>
      </c>
      <c r="S128" s="1">
        <v>307</v>
      </c>
      <c r="T128" s="1">
        <f>22+40+15+58</f>
        <v>135</v>
      </c>
      <c r="U128" s="1">
        <v>70</v>
      </c>
      <c r="V128" s="1">
        <v>45</v>
      </c>
      <c r="W128" s="1">
        <f t="shared" si="63"/>
        <v>250</v>
      </c>
      <c r="X128" s="31">
        <f t="shared" si="64"/>
        <v>1.1962627321413335</v>
      </c>
    </row>
    <row r="129" spans="1:33">
      <c r="A129" s="1">
        <v>2025</v>
      </c>
      <c r="B129" s="1">
        <v>5</v>
      </c>
      <c r="C129" s="1" t="s">
        <v>13</v>
      </c>
      <c r="D129" s="1">
        <v>11</v>
      </c>
      <c r="E129" s="1">
        <v>56</v>
      </c>
      <c r="F129" s="1" t="s">
        <v>9</v>
      </c>
      <c r="G129" s="1">
        <v>26.1</v>
      </c>
      <c r="I129" s="1">
        <v>33.71</v>
      </c>
      <c r="J129" s="1">
        <v>30.38</v>
      </c>
      <c r="M129" s="1">
        <v>4</v>
      </c>
      <c r="N129" s="1">
        <v>3</v>
      </c>
      <c r="O129" s="1">
        <f t="shared" si="33"/>
        <v>5.3502108288797592</v>
      </c>
      <c r="P129" s="1">
        <f t="shared" si="31"/>
        <v>8.065112564608528</v>
      </c>
      <c r="Q129" s="1">
        <f t="shared" si="32"/>
        <v>2.7149017357287688</v>
      </c>
      <c r="R129" s="1">
        <v>126</v>
      </c>
      <c r="S129" s="1">
        <v>337</v>
      </c>
      <c r="T129" s="1">
        <f>20+23+37+74</f>
        <v>154</v>
      </c>
      <c r="U129" s="1">
        <v>55</v>
      </c>
      <c r="V129" s="1">
        <v>37</v>
      </c>
      <c r="W129" s="1">
        <f t="shared" si="63"/>
        <v>246</v>
      </c>
      <c r="X129" s="31">
        <f t="shared" si="64"/>
        <v>1.4006819347920001</v>
      </c>
    </row>
    <row r="130" spans="1:33">
      <c r="A130" s="1">
        <v>2025</v>
      </c>
      <c r="B130" s="1">
        <v>5</v>
      </c>
      <c r="C130" s="1" t="s">
        <v>13</v>
      </c>
      <c r="D130" s="1">
        <v>11</v>
      </c>
      <c r="E130" s="1">
        <v>57</v>
      </c>
      <c r="F130" s="1" t="s">
        <v>9</v>
      </c>
      <c r="G130" s="1">
        <v>31.55</v>
      </c>
      <c r="I130" s="1">
        <v>39.229999999999997</v>
      </c>
      <c r="J130" s="1">
        <v>38.68</v>
      </c>
      <c r="M130" s="1">
        <v>1</v>
      </c>
      <c r="N130" s="1">
        <v>4</v>
      </c>
      <c r="O130" s="1">
        <f t="shared" si="33"/>
        <v>7.8178729534122864</v>
      </c>
      <c r="P130" s="1">
        <f t="shared" si="31"/>
        <v>11.918354494052744</v>
      </c>
      <c r="Q130" s="1">
        <f t="shared" si="32"/>
        <v>4.100481540640458</v>
      </c>
      <c r="R130" s="1">
        <v>139</v>
      </c>
      <c r="S130" s="1">
        <v>347</v>
      </c>
      <c r="T130" s="1">
        <v>141</v>
      </c>
      <c r="U130" s="1">
        <v>77</v>
      </c>
      <c r="V130" s="1">
        <f>24+55+20+35+37</f>
        <v>171</v>
      </c>
      <c r="W130" s="1">
        <f t="shared" si="63"/>
        <v>389</v>
      </c>
      <c r="X130" s="31">
        <f t="shared" si="64"/>
        <v>1.7552040470086669</v>
      </c>
    </row>
    <row r="131" spans="1:33">
      <c r="A131" s="1">
        <v>2025</v>
      </c>
      <c r="B131" s="1">
        <v>6</v>
      </c>
      <c r="C131" s="1" t="s">
        <v>13</v>
      </c>
      <c r="D131" s="1">
        <v>11</v>
      </c>
      <c r="E131" s="1">
        <v>63</v>
      </c>
      <c r="F131" s="1" t="s">
        <v>10</v>
      </c>
      <c r="G131" s="1">
        <v>30.14</v>
      </c>
      <c r="I131" s="1">
        <v>33.64</v>
      </c>
      <c r="J131" s="1">
        <v>38.380000000000003</v>
      </c>
      <c r="M131" s="1">
        <v>0</v>
      </c>
      <c r="N131" s="1">
        <v>2</v>
      </c>
      <c r="O131" s="1">
        <f t="shared" si="33"/>
        <v>7.1347108543424476</v>
      </c>
      <c r="P131" s="1">
        <f t="shared" si="31"/>
        <v>10.184415849805557</v>
      </c>
      <c r="Q131" s="1">
        <f t="shared" si="32"/>
        <v>3.0497049954631095</v>
      </c>
      <c r="R131" s="1">
        <v>157</v>
      </c>
      <c r="S131" s="1">
        <v>244</v>
      </c>
      <c r="T131" s="1">
        <f>132+83+160+172+65+100</f>
        <v>712</v>
      </c>
      <c r="U131" s="1">
        <v>84</v>
      </c>
      <c r="V131" s="1">
        <v>61</v>
      </c>
      <c r="W131" s="1">
        <f t="shared" si="63"/>
        <v>857</v>
      </c>
      <c r="X131" s="31">
        <f t="shared" si="64"/>
        <v>1.5745543912293334</v>
      </c>
    </row>
    <row r="132" spans="1:33">
      <c r="A132" s="1">
        <v>2025</v>
      </c>
      <c r="B132" s="1">
        <v>6</v>
      </c>
      <c r="C132" s="1" t="s">
        <v>13</v>
      </c>
      <c r="D132" s="1">
        <v>11</v>
      </c>
      <c r="E132" s="1">
        <v>64</v>
      </c>
      <c r="F132" s="1" t="s">
        <v>10</v>
      </c>
      <c r="G132" s="1">
        <v>35.049999999999997</v>
      </c>
      <c r="I132" s="1">
        <v>40.14</v>
      </c>
      <c r="J132" s="1">
        <v>41.28</v>
      </c>
      <c r="M132" s="1">
        <v>0</v>
      </c>
      <c r="N132" s="1">
        <v>2</v>
      </c>
      <c r="O132" s="1">
        <f t="shared" si="33"/>
        <v>9.6486360722917368</v>
      </c>
      <c r="P132" s="1">
        <f t="shared" ref="P132:P163" si="66">(AVERAGE(I132:L132)/20)^2*PI()</f>
        <v>13.016435963310606</v>
      </c>
      <c r="Q132" s="1">
        <f t="shared" ref="Q132:Q163" si="67">P132-O132</f>
        <v>3.3677998910188691</v>
      </c>
      <c r="R132" s="1">
        <v>156</v>
      </c>
      <c r="S132" s="1">
        <v>264</v>
      </c>
      <c r="T132" s="1">
        <f>103+43+60+59+67</f>
        <v>332</v>
      </c>
      <c r="U132" s="1">
        <v>132</v>
      </c>
      <c r="V132" s="1">
        <v>72</v>
      </c>
      <c r="W132" s="1">
        <f t="shared" si="63"/>
        <v>536</v>
      </c>
      <c r="X132" s="31">
        <f t="shared" si="64"/>
        <v>1.6819832240640002</v>
      </c>
    </row>
    <row r="133" spans="1:33">
      <c r="A133" s="1">
        <v>2025</v>
      </c>
      <c r="B133" s="1">
        <v>6</v>
      </c>
      <c r="C133" s="1" t="s">
        <v>13</v>
      </c>
      <c r="D133" s="1">
        <v>11</v>
      </c>
      <c r="E133" s="1">
        <v>65</v>
      </c>
      <c r="F133" s="1" t="s">
        <v>10</v>
      </c>
      <c r="G133" s="1">
        <v>34.42</v>
      </c>
      <c r="I133" s="1">
        <v>41.36</v>
      </c>
      <c r="J133" s="1">
        <v>42.51</v>
      </c>
      <c r="M133" s="1">
        <v>0</v>
      </c>
      <c r="N133" s="1">
        <v>1</v>
      </c>
      <c r="O133" s="1">
        <f t="shared" ref="O133:O163" si="68">(AVERAGE(G133,H133)/20)^2*PI()</f>
        <v>9.304897926701047</v>
      </c>
      <c r="P133" s="1">
        <f t="shared" si="66"/>
        <v>13.811574045681892</v>
      </c>
      <c r="Q133" s="1">
        <f t="shared" si="67"/>
        <v>4.5066761189808453</v>
      </c>
      <c r="R133" s="1">
        <v>139</v>
      </c>
      <c r="S133" s="1">
        <v>356</v>
      </c>
      <c r="T133" s="1">
        <f>106+60+61</f>
        <v>227</v>
      </c>
      <c r="U133" s="1">
        <v>105</v>
      </c>
      <c r="V133" s="1">
        <v>55</v>
      </c>
      <c r="W133" s="1">
        <f t="shared" si="63"/>
        <v>387</v>
      </c>
      <c r="X133" s="31">
        <f t="shared" si="64"/>
        <v>1.8007280712826668</v>
      </c>
      <c r="Y133" s="1">
        <v>30</v>
      </c>
      <c r="Z133" s="1">
        <f t="shared" ref="Z133:Z159" si="69">Y133/P133</f>
        <v>2.1720913127478996</v>
      </c>
      <c r="AA133" s="1">
        <v>5.96</v>
      </c>
      <c r="AB133" s="1">
        <v>2</v>
      </c>
      <c r="AC133" s="1">
        <v>4032</v>
      </c>
      <c r="AD133" s="1">
        <f>(AA133*AC133)/1000</f>
        <v>24.030720000000002</v>
      </c>
      <c r="AE133" s="1">
        <f t="shared" ref="AE133:AE159" si="70">AA133/P133</f>
        <v>0.43152214079924939</v>
      </c>
      <c r="AF133" s="1">
        <f>AA133/Y133*1000</f>
        <v>198.66666666666666</v>
      </c>
      <c r="AG133" s="1">
        <f>(AB133*AC133)/60</f>
        <v>134.4</v>
      </c>
    </row>
    <row r="134" spans="1:33">
      <c r="A134" s="1">
        <v>2025</v>
      </c>
      <c r="B134" s="1">
        <v>6</v>
      </c>
      <c r="C134" s="1" t="s">
        <v>13</v>
      </c>
      <c r="D134" s="1">
        <v>11</v>
      </c>
      <c r="E134" s="1">
        <v>66</v>
      </c>
      <c r="F134" s="1" t="s">
        <v>10</v>
      </c>
      <c r="G134" s="1">
        <v>35.71</v>
      </c>
      <c r="I134" s="1">
        <v>42.73</v>
      </c>
      <c r="J134" s="1">
        <v>44.81</v>
      </c>
      <c r="M134" s="1">
        <v>0</v>
      </c>
      <c r="N134" s="1">
        <v>1</v>
      </c>
      <c r="O134" s="1">
        <f t="shared" si="68"/>
        <v>10.015429580968961</v>
      </c>
      <c r="P134" s="1">
        <f t="shared" si="66"/>
        <v>15.046759330731392</v>
      </c>
      <c r="Q134" s="1">
        <f t="shared" si="67"/>
        <v>5.0313297497624312</v>
      </c>
      <c r="X134" s="31"/>
      <c r="Y134" s="1">
        <v>33</v>
      </c>
      <c r="Z134" s="1">
        <f t="shared" si="69"/>
        <v>2.1931632768659388</v>
      </c>
      <c r="AA134" s="1">
        <v>7.46</v>
      </c>
      <c r="AB134" s="1">
        <v>2</v>
      </c>
      <c r="AC134" s="1">
        <v>4032</v>
      </c>
      <c r="AD134" s="1">
        <f>(AA134*AC134)/1000</f>
        <v>30.078720000000001</v>
      </c>
      <c r="AE134" s="1">
        <f t="shared" si="70"/>
        <v>0.49578781955817891</v>
      </c>
      <c r="AF134" s="1">
        <f>AA134/Y134*1000</f>
        <v>226.06060606060606</v>
      </c>
      <c r="AG134" s="1">
        <f>(AB134*AC134)/60</f>
        <v>134.4</v>
      </c>
    </row>
    <row r="135" spans="1:33">
      <c r="A135" s="1">
        <v>2025</v>
      </c>
      <c r="B135" s="1">
        <v>6</v>
      </c>
      <c r="C135" s="1" t="s">
        <v>13</v>
      </c>
      <c r="D135" s="1">
        <v>11</v>
      </c>
      <c r="E135" s="1">
        <v>67</v>
      </c>
      <c r="F135" s="1" t="s">
        <v>10</v>
      </c>
      <c r="G135" s="1">
        <v>30.95</v>
      </c>
      <c r="I135" s="1">
        <v>36.04</v>
      </c>
      <c r="J135" s="1">
        <v>38.159999999999997</v>
      </c>
      <c r="M135" s="1">
        <v>0</v>
      </c>
      <c r="N135" s="1">
        <v>2</v>
      </c>
      <c r="O135" s="1">
        <f t="shared" si="68"/>
        <v>7.5233486421382407</v>
      </c>
      <c r="P135" s="1">
        <f t="shared" si="66"/>
        <v>10.810298860818815</v>
      </c>
      <c r="Q135" s="1">
        <f t="shared" si="67"/>
        <v>3.2869502186805741</v>
      </c>
      <c r="R135" s="1">
        <v>114</v>
      </c>
      <c r="S135" s="1">
        <v>318</v>
      </c>
      <c r="T135" s="1">
        <v>53</v>
      </c>
      <c r="U135" s="1">
        <v>90</v>
      </c>
      <c r="V135" s="1">
        <f>16+122+44</f>
        <v>182</v>
      </c>
      <c r="W135" s="1">
        <f t="shared" ref="W135:W161" si="71">T135+U135+V135</f>
        <v>325</v>
      </c>
      <c r="X135" s="31">
        <f t="shared" si="64"/>
        <v>1.081945435248</v>
      </c>
      <c r="Y135" s="1">
        <v>29</v>
      </c>
      <c r="Z135" s="1">
        <f t="shared" si="69"/>
        <v>2.6826270368073271</v>
      </c>
      <c r="AA135" s="1">
        <v>6.2</v>
      </c>
      <c r="AB135" s="1">
        <v>2</v>
      </c>
      <c r="AC135" s="1">
        <v>4032</v>
      </c>
      <c r="AD135" s="1">
        <f>(AA135*AC135)/1000</f>
        <v>24.9984</v>
      </c>
      <c r="AE135" s="1">
        <f t="shared" si="70"/>
        <v>0.57352715959329059</v>
      </c>
      <c r="AF135" s="1">
        <f>AA135/Y135*1000</f>
        <v>213.79310344827587</v>
      </c>
      <c r="AG135" s="1">
        <f>(AB135*AC135)/60</f>
        <v>134.4</v>
      </c>
    </row>
    <row r="136" spans="1:33">
      <c r="A136" s="1">
        <v>2025</v>
      </c>
      <c r="B136" s="1">
        <v>6</v>
      </c>
      <c r="C136" s="1" t="s">
        <v>13</v>
      </c>
      <c r="D136" s="1">
        <v>11</v>
      </c>
      <c r="E136" s="1">
        <v>68</v>
      </c>
      <c r="F136" s="1" t="s">
        <v>10</v>
      </c>
      <c r="G136" s="1">
        <v>31.81</v>
      </c>
      <c r="I136" s="1">
        <v>38.35</v>
      </c>
      <c r="J136" s="1">
        <v>42.01</v>
      </c>
      <c r="M136" s="1">
        <v>0</v>
      </c>
      <c r="N136" s="1">
        <v>2</v>
      </c>
      <c r="O136" s="1">
        <f t="shared" si="68"/>
        <v>7.9472563052577279</v>
      </c>
      <c r="P136" s="1">
        <f t="shared" si="66"/>
        <v>12.679722418893343</v>
      </c>
      <c r="Q136" s="1">
        <f t="shared" si="67"/>
        <v>4.7324661136356152</v>
      </c>
      <c r="R136" s="1">
        <v>125</v>
      </c>
      <c r="S136" s="1">
        <v>337</v>
      </c>
      <c r="T136" s="1">
        <f>30+20+126+98</f>
        <v>274</v>
      </c>
      <c r="U136" s="1">
        <v>82</v>
      </c>
      <c r="V136" s="1">
        <v>59</v>
      </c>
      <c r="W136" s="1">
        <f t="shared" si="71"/>
        <v>415</v>
      </c>
      <c r="X136" s="31">
        <f t="shared" si="64"/>
        <v>1.3785371145833332</v>
      </c>
    </row>
    <row r="137" spans="1:33">
      <c r="A137" s="1">
        <v>2025</v>
      </c>
      <c r="B137" s="1">
        <v>6</v>
      </c>
      <c r="C137" s="1" t="s">
        <v>13</v>
      </c>
      <c r="D137" s="1">
        <v>11</v>
      </c>
      <c r="E137" s="1">
        <v>69</v>
      </c>
      <c r="F137" s="1" t="s">
        <v>10</v>
      </c>
      <c r="G137" s="1">
        <v>35.49</v>
      </c>
      <c r="I137" s="1">
        <v>40.76</v>
      </c>
      <c r="J137" s="1">
        <v>42.12</v>
      </c>
      <c r="M137" s="1">
        <v>10</v>
      </c>
      <c r="N137" s="1">
        <v>1</v>
      </c>
      <c r="O137" s="1">
        <f t="shared" si="68"/>
        <v>9.8924048126543855</v>
      </c>
      <c r="P137" s="1">
        <f t="shared" si="66"/>
        <v>13.487435314909243</v>
      </c>
      <c r="Q137" s="1">
        <f t="shared" si="67"/>
        <v>3.5950305022548577</v>
      </c>
      <c r="R137" s="1">
        <v>202</v>
      </c>
      <c r="S137" s="1">
        <v>292</v>
      </c>
      <c r="T137" s="1">
        <f>13+40+99+36+81+104+96</f>
        <v>469</v>
      </c>
      <c r="U137" s="1">
        <v>50</v>
      </c>
      <c r="V137" s="1">
        <v>93</v>
      </c>
      <c r="W137" s="1">
        <f t="shared" si="71"/>
        <v>612</v>
      </c>
      <c r="X137" s="31">
        <f t="shared" si="64"/>
        <v>3.1192783192213329</v>
      </c>
    </row>
    <row r="138" spans="1:33">
      <c r="A138" s="1">
        <v>2025</v>
      </c>
      <c r="B138" s="1">
        <v>7</v>
      </c>
      <c r="C138" s="1" t="s">
        <v>13</v>
      </c>
      <c r="D138" s="1">
        <v>11</v>
      </c>
      <c r="E138" s="1">
        <v>76</v>
      </c>
      <c r="F138" s="1" t="s">
        <v>8</v>
      </c>
      <c r="G138" s="1">
        <v>26.58</v>
      </c>
      <c r="I138" s="1">
        <v>36.950000000000003</v>
      </c>
      <c r="J138" s="1">
        <v>34.729999999999997</v>
      </c>
      <c r="M138" s="1">
        <v>0</v>
      </c>
      <c r="N138" s="1">
        <v>1</v>
      </c>
      <c r="O138" s="1">
        <f t="shared" si="68"/>
        <v>5.5488097500690898</v>
      </c>
      <c r="P138" s="1">
        <f t="shared" si="66"/>
        <v>10.088483391137375</v>
      </c>
      <c r="Q138" s="1">
        <f t="shared" si="67"/>
        <v>4.5396736410682852</v>
      </c>
      <c r="R138" s="1">
        <v>176</v>
      </c>
      <c r="S138" s="1">
        <v>246</v>
      </c>
      <c r="T138" s="1">
        <f>86+52+58+29</f>
        <v>225</v>
      </c>
      <c r="U138" s="1">
        <v>59</v>
      </c>
      <c r="V138" s="1">
        <v>39</v>
      </c>
      <c r="W138" s="1">
        <f t="shared" si="71"/>
        <v>323</v>
      </c>
      <c r="X138" s="31">
        <f t="shared" si="64"/>
        <v>1.9949360527360001</v>
      </c>
      <c r="Y138" s="1">
        <v>18</v>
      </c>
      <c r="Z138" s="1">
        <f t="shared" si="69"/>
        <v>1.7842126811461878</v>
      </c>
      <c r="AA138" s="1">
        <v>2.8599999999999994</v>
      </c>
      <c r="AB138" s="1">
        <v>1</v>
      </c>
      <c r="AC138" s="1">
        <v>4032</v>
      </c>
      <c r="AD138" s="1">
        <f>(AA138*AC138)/1000</f>
        <v>11.531519999999997</v>
      </c>
      <c r="AE138" s="1">
        <f t="shared" si="70"/>
        <v>0.28349157044878309</v>
      </c>
      <c r="AF138" s="1">
        <f>AA138/Y138*1000</f>
        <v>158.88888888888886</v>
      </c>
      <c r="AG138" s="1">
        <f>(AB138*AC138)/60</f>
        <v>67.2</v>
      </c>
    </row>
    <row r="139" spans="1:33">
      <c r="A139" s="1">
        <v>2025</v>
      </c>
      <c r="B139" s="1">
        <v>7</v>
      </c>
      <c r="C139" s="1" t="s">
        <v>13</v>
      </c>
      <c r="D139" s="1">
        <v>11</v>
      </c>
      <c r="E139" s="1">
        <v>77</v>
      </c>
      <c r="F139" s="1" t="s">
        <v>8</v>
      </c>
      <c r="G139" s="1">
        <v>26.62</v>
      </c>
      <c r="I139" s="1">
        <v>37.61</v>
      </c>
      <c r="J139" s="1">
        <v>38.03</v>
      </c>
      <c r="M139" s="1">
        <v>0</v>
      </c>
      <c r="N139" s="1">
        <v>1</v>
      </c>
      <c r="O139" s="1">
        <f t="shared" si="68"/>
        <v>5.565523022986187</v>
      </c>
      <c r="P139" s="1">
        <f t="shared" si="66"/>
        <v>11.233961479711322</v>
      </c>
      <c r="Q139" s="1">
        <f t="shared" si="67"/>
        <v>5.6684384567251351</v>
      </c>
      <c r="R139" s="1">
        <v>142</v>
      </c>
      <c r="S139" s="1">
        <v>286</v>
      </c>
      <c r="T139" s="1">
        <f>107+92+130+29+125+22</f>
        <v>505</v>
      </c>
      <c r="U139" s="1">
        <v>72</v>
      </c>
      <c r="V139" s="1">
        <v>73</v>
      </c>
      <c r="W139" s="1">
        <f t="shared" si="71"/>
        <v>650</v>
      </c>
      <c r="X139" s="31">
        <f t="shared" si="64"/>
        <v>1.5097716225973332</v>
      </c>
      <c r="Y139" s="1">
        <v>10</v>
      </c>
      <c r="Z139" s="1">
        <f t="shared" si="69"/>
        <v>0.89015793921495345</v>
      </c>
      <c r="AA139" s="1">
        <v>1.5599999999999998</v>
      </c>
      <c r="AB139" s="1">
        <v>0.5</v>
      </c>
      <c r="AC139" s="1">
        <v>4032</v>
      </c>
      <c r="AD139" s="1">
        <f>(AA139*AC139)/1000</f>
        <v>6.2899199999999995</v>
      </c>
      <c r="AE139" s="1">
        <f t="shared" si="70"/>
        <v>0.13886463851753272</v>
      </c>
      <c r="AF139" s="1">
        <f>AA139/Y139*1000</f>
        <v>155.99999999999997</v>
      </c>
      <c r="AG139" s="1">
        <f>(AB139*AC139)/60</f>
        <v>33.6</v>
      </c>
    </row>
    <row r="140" spans="1:33">
      <c r="A140" s="1">
        <v>2025</v>
      </c>
      <c r="B140" s="1">
        <v>7</v>
      </c>
      <c r="C140" s="1" t="s">
        <v>13</v>
      </c>
      <c r="D140" s="1">
        <v>11</v>
      </c>
      <c r="E140" s="1">
        <v>78</v>
      </c>
      <c r="F140" s="1" t="s">
        <v>8</v>
      </c>
      <c r="G140" s="1">
        <v>24.94</v>
      </c>
      <c r="I140" s="1">
        <v>33.270000000000003</v>
      </c>
      <c r="J140" s="1">
        <v>37.130000000000003</v>
      </c>
      <c r="M140" s="1">
        <v>0</v>
      </c>
      <c r="N140" s="1">
        <v>1</v>
      </c>
      <c r="O140" s="1">
        <f t="shared" si="68"/>
        <v>4.8852048506660113</v>
      </c>
      <c r="P140" s="1">
        <f t="shared" si="66"/>
        <v>9.731397403759745</v>
      </c>
      <c r="Q140" s="1">
        <f t="shared" si="67"/>
        <v>4.8461925530937338</v>
      </c>
      <c r="R140" s="1">
        <v>190</v>
      </c>
      <c r="S140" s="1">
        <v>296</v>
      </c>
      <c r="T140" s="1">
        <f>124+110+62</f>
        <v>296</v>
      </c>
      <c r="U140" s="1">
        <v>30</v>
      </c>
      <c r="V140" s="1">
        <v>44</v>
      </c>
      <c r="W140" s="1">
        <f t="shared" si="71"/>
        <v>370</v>
      </c>
      <c r="X140" s="31">
        <f t="shared" si="64"/>
        <v>2.7974829562666663</v>
      </c>
      <c r="Y140" s="1">
        <v>22</v>
      </c>
      <c r="Z140" s="1">
        <f t="shared" si="69"/>
        <v>2.2607236234644219</v>
      </c>
      <c r="AA140" s="1">
        <v>3.4799999999999995</v>
      </c>
      <c r="AB140" s="1">
        <v>1</v>
      </c>
      <c r="AC140" s="1">
        <v>4032</v>
      </c>
      <c r="AD140" s="1">
        <f>(AA140*AC140)/1000</f>
        <v>14.031359999999999</v>
      </c>
      <c r="AE140" s="1">
        <f t="shared" si="70"/>
        <v>0.35760537316619034</v>
      </c>
      <c r="AF140" s="1">
        <f>AA140/Y140*1000</f>
        <v>158.18181818181819</v>
      </c>
      <c r="AG140" s="1">
        <f>(AB140*AC140)/60</f>
        <v>67.2</v>
      </c>
    </row>
    <row r="141" spans="1:33">
      <c r="A141" s="1">
        <v>2025</v>
      </c>
      <c r="B141" s="1">
        <v>7</v>
      </c>
      <c r="C141" s="1" t="s">
        <v>13</v>
      </c>
      <c r="D141" s="1">
        <v>11</v>
      </c>
      <c r="E141" s="1">
        <v>79</v>
      </c>
      <c r="F141" s="1" t="s">
        <v>8</v>
      </c>
      <c r="G141" s="1">
        <v>23.66</v>
      </c>
      <c r="I141" s="1">
        <v>30.06</v>
      </c>
      <c r="J141" s="1">
        <v>31.29</v>
      </c>
      <c r="M141" s="1">
        <v>0</v>
      </c>
      <c r="N141" s="1">
        <v>3</v>
      </c>
      <c r="O141" s="1">
        <f t="shared" si="68"/>
        <v>4.3966243611797262</v>
      </c>
      <c r="P141" s="1">
        <f t="shared" si="66"/>
        <v>7.39024819713498</v>
      </c>
      <c r="Q141" s="1">
        <f t="shared" si="67"/>
        <v>2.9936238359552538</v>
      </c>
      <c r="R141" s="1">
        <v>128</v>
      </c>
      <c r="S141" s="1">
        <v>273</v>
      </c>
      <c r="T141" s="1">
        <v>109</v>
      </c>
      <c r="U141" s="1">
        <v>80</v>
      </c>
      <c r="V141" s="1">
        <f>45+53</f>
        <v>98</v>
      </c>
      <c r="W141" s="1">
        <f t="shared" si="71"/>
        <v>287</v>
      </c>
      <c r="X141" s="31">
        <f t="shared" si="64"/>
        <v>1.1709844357120001</v>
      </c>
    </row>
    <row r="142" spans="1:33">
      <c r="A142" s="1">
        <v>2025</v>
      </c>
      <c r="B142" s="1">
        <v>7</v>
      </c>
      <c r="C142" s="1" t="s">
        <v>13</v>
      </c>
      <c r="D142" s="1">
        <v>11</v>
      </c>
      <c r="E142" s="1">
        <v>80</v>
      </c>
      <c r="F142" s="1" t="s">
        <v>8</v>
      </c>
      <c r="G142" s="1">
        <v>25.13</v>
      </c>
      <c r="I142" s="1">
        <v>31.87</v>
      </c>
      <c r="J142" s="1">
        <v>33.630000000000003</v>
      </c>
      <c r="M142" s="1">
        <v>0</v>
      </c>
      <c r="N142" s="1">
        <v>2</v>
      </c>
      <c r="O142" s="1">
        <f t="shared" si="68"/>
        <v>4.9599221341444997</v>
      </c>
      <c r="P142" s="1">
        <f t="shared" si="66"/>
        <v>8.4238861762897557</v>
      </c>
      <c r="Q142" s="1">
        <f t="shared" si="67"/>
        <v>3.463964042145256</v>
      </c>
      <c r="R142" s="1">
        <v>126</v>
      </c>
      <c r="S142" s="1">
        <v>331</v>
      </c>
      <c r="T142" s="1">
        <v>89</v>
      </c>
      <c r="U142" s="1">
        <f>126+52</f>
        <v>178</v>
      </c>
      <c r="V142" s="1">
        <v>23</v>
      </c>
      <c r="W142" s="1">
        <f t="shared" si="71"/>
        <v>290</v>
      </c>
      <c r="X142" s="31">
        <f t="shared" si="64"/>
        <v>1.3757439774960001</v>
      </c>
    </row>
    <row r="143" spans="1:33">
      <c r="A143" s="1">
        <v>2025</v>
      </c>
      <c r="B143" s="1">
        <v>7</v>
      </c>
      <c r="C143" s="1" t="s">
        <v>13</v>
      </c>
      <c r="D143" s="1">
        <v>11</v>
      </c>
      <c r="E143" s="1">
        <v>81</v>
      </c>
      <c r="F143" s="1" t="s">
        <v>8</v>
      </c>
      <c r="G143" s="1">
        <v>26.67</v>
      </c>
      <c r="I143" s="1">
        <v>31.62</v>
      </c>
      <c r="J143" s="1">
        <v>30.9</v>
      </c>
      <c r="M143" s="1">
        <v>0</v>
      </c>
      <c r="N143" s="1">
        <v>2</v>
      </c>
      <c r="O143" s="1">
        <f t="shared" si="68"/>
        <v>5.586449957049914</v>
      </c>
      <c r="P143" s="1">
        <f t="shared" si="66"/>
        <v>7.6748134633476024</v>
      </c>
      <c r="Q143" s="1">
        <f t="shared" si="67"/>
        <v>2.0883635062976884</v>
      </c>
      <c r="R143" s="1">
        <v>138</v>
      </c>
      <c r="S143" s="1">
        <v>300</v>
      </c>
      <c r="T143" s="1">
        <f>110+20+19</f>
        <v>149</v>
      </c>
      <c r="U143" s="1">
        <f>77+18</f>
        <v>95</v>
      </c>
      <c r="V143" s="1">
        <v>42</v>
      </c>
      <c r="W143" s="1">
        <f t="shared" si="71"/>
        <v>286</v>
      </c>
      <c r="X143" s="31">
        <f t="shared" si="64"/>
        <v>1.4957119512000001</v>
      </c>
    </row>
    <row r="144" spans="1:33">
      <c r="A144" s="1">
        <v>2025</v>
      </c>
      <c r="B144" s="1">
        <v>8</v>
      </c>
      <c r="C144" s="1" t="s">
        <v>13</v>
      </c>
      <c r="D144" s="1">
        <v>11</v>
      </c>
      <c r="E144" s="1">
        <v>87</v>
      </c>
      <c r="F144" s="1" t="s">
        <v>9</v>
      </c>
      <c r="G144" s="1">
        <v>31.61</v>
      </c>
      <c r="I144" s="1">
        <v>36.869999999999997</v>
      </c>
      <c r="J144" s="1">
        <v>39.72</v>
      </c>
      <c r="M144" s="1">
        <v>3</v>
      </c>
      <c r="N144" s="1">
        <v>2</v>
      </c>
      <c r="O144" s="1">
        <f t="shared" si="68"/>
        <v>7.8476364022123946</v>
      </c>
      <c r="P144" s="1">
        <f t="shared" si="66"/>
        <v>11.517919240444559</v>
      </c>
      <c r="Q144" s="1">
        <f t="shared" si="67"/>
        <v>3.6702828382321648</v>
      </c>
      <c r="R144" s="1">
        <v>108</v>
      </c>
      <c r="S144" s="1">
        <v>390</v>
      </c>
      <c r="T144" s="1">
        <v>74</v>
      </c>
      <c r="U144" s="1">
        <v>75</v>
      </c>
      <c r="V144" s="1">
        <v>67</v>
      </c>
      <c r="W144" s="1">
        <f t="shared" si="71"/>
        <v>216</v>
      </c>
      <c r="X144" s="31">
        <f t="shared" si="64"/>
        <v>1.1909146953600001</v>
      </c>
      <c r="Y144" s="1">
        <v>28</v>
      </c>
      <c r="Z144" s="1">
        <f t="shared" si="69"/>
        <v>2.43099464542862</v>
      </c>
      <c r="AA144" s="1">
        <v>5.3</v>
      </c>
      <c r="AB144" s="1">
        <v>2</v>
      </c>
      <c r="AC144" s="1">
        <v>4032</v>
      </c>
      <c r="AD144" s="1">
        <f>(AA144*AC144)/1000</f>
        <v>21.369599999999998</v>
      </c>
      <c r="AE144" s="1">
        <f t="shared" si="70"/>
        <v>0.46015255788470305</v>
      </c>
      <c r="AF144" s="1">
        <f>AA144/Y144*1000</f>
        <v>189.28571428571428</v>
      </c>
      <c r="AG144" s="1">
        <f>(AB144*AC144)/60</f>
        <v>134.4</v>
      </c>
    </row>
    <row r="145" spans="1:33">
      <c r="A145" s="1">
        <v>2025</v>
      </c>
      <c r="B145" s="1">
        <v>8</v>
      </c>
      <c r="C145" s="1" t="s">
        <v>13</v>
      </c>
      <c r="D145" s="1">
        <v>11</v>
      </c>
      <c r="E145" s="1">
        <v>88</v>
      </c>
      <c r="F145" s="1" t="s">
        <v>9</v>
      </c>
      <c r="G145" s="1">
        <v>32.57</v>
      </c>
      <c r="I145" s="1">
        <v>37.86</v>
      </c>
      <c r="J145" s="1">
        <v>40.700000000000003</v>
      </c>
      <c r="M145" s="1">
        <v>2</v>
      </c>
      <c r="N145" s="1">
        <v>2</v>
      </c>
      <c r="O145" s="1">
        <f t="shared" si="68"/>
        <v>8.331542201830139</v>
      </c>
      <c r="P145" s="1">
        <f t="shared" si="66"/>
        <v>12.118052776321294</v>
      </c>
      <c r="Q145" s="1">
        <f t="shared" si="67"/>
        <v>3.7865105744911549</v>
      </c>
      <c r="R145" s="1">
        <v>138</v>
      </c>
      <c r="S145" s="1">
        <v>380</v>
      </c>
      <c r="T145" s="1">
        <f>72+65+5</f>
        <v>142</v>
      </c>
      <c r="U145" s="1">
        <v>50</v>
      </c>
      <c r="V145" s="1">
        <v>28</v>
      </c>
      <c r="W145" s="1">
        <f t="shared" si="71"/>
        <v>220</v>
      </c>
      <c r="X145" s="31">
        <f t="shared" si="64"/>
        <v>1.8945684715200002</v>
      </c>
      <c r="Y145" s="1">
        <v>14</v>
      </c>
      <c r="Z145" s="1">
        <f t="shared" si="69"/>
        <v>1.1553011245631837</v>
      </c>
      <c r="AA145" s="1">
        <v>2.6399999999999997</v>
      </c>
      <c r="AB145" s="1">
        <v>1</v>
      </c>
      <c r="AC145" s="1">
        <v>4032</v>
      </c>
      <c r="AD145" s="1">
        <f>(AA145*AC145)/1000</f>
        <v>10.64448</v>
      </c>
      <c r="AE145" s="1">
        <f t="shared" si="70"/>
        <v>0.21785678348905746</v>
      </c>
      <c r="AF145" s="1">
        <f>AA145/Y145*1000</f>
        <v>188.57142857142856</v>
      </c>
      <c r="AG145" s="1">
        <f>(AB145*AC145)/60</f>
        <v>67.2</v>
      </c>
    </row>
    <row r="146" spans="1:33">
      <c r="A146" s="1">
        <v>2025</v>
      </c>
      <c r="B146" s="1">
        <v>8</v>
      </c>
      <c r="C146" s="1" t="s">
        <v>13</v>
      </c>
      <c r="D146" s="1">
        <v>11</v>
      </c>
      <c r="E146" s="1">
        <v>89</v>
      </c>
      <c r="F146" s="1" t="s">
        <v>9</v>
      </c>
      <c r="G146" s="1">
        <v>33.24</v>
      </c>
      <c r="I146" s="1">
        <v>41.07</v>
      </c>
      <c r="J146" s="1">
        <v>44.32</v>
      </c>
      <c r="M146" s="1">
        <v>4</v>
      </c>
      <c r="N146" s="1">
        <v>3</v>
      </c>
      <c r="O146" s="1">
        <f t="shared" si="68"/>
        <v>8.6778454578224853</v>
      </c>
      <c r="P146" s="1">
        <f t="shared" si="66"/>
        <v>14.316732719601168</v>
      </c>
      <c r="Q146" s="1">
        <f t="shared" si="67"/>
        <v>5.6388872617786827</v>
      </c>
      <c r="R146" s="1">
        <v>137</v>
      </c>
      <c r="S146" s="1">
        <v>380</v>
      </c>
      <c r="T146" s="1">
        <f>91+76+62+38+10</f>
        <v>277</v>
      </c>
      <c r="U146" s="1">
        <f>112+98+50</f>
        <v>260</v>
      </c>
      <c r="V146" s="1">
        <v>83</v>
      </c>
      <c r="W146" s="1">
        <f t="shared" si="71"/>
        <v>620</v>
      </c>
      <c r="X146" s="31">
        <f t="shared" si="64"/>
        <v>1.8672104411866668</v>
      </c>
      <c r="Y146" s="1">
        <v>8</v>
      </c>
      <c r="Z146" s="1">
        <f t="shared" si="69"/>
        <v>0.55878671179263739</v>
      </c>
      <c r="AA146" s="1">
        <v>1.4000000000000001</v>
      </c>
      <c r="AB146" s="1">
        <v>0.5</v>
      </c>
      <c r="AC146" s="1">
        <v>4032</v>
      </c>
      <c r="AD146" s="1">
        <f>(AA146*AC146)/1000</f>
        <v>5.6448</v>
      </c>
      <c r="AE146" s="1">
        <f t="shared" si="70"/>
        <v>9.7787674563711555E-2</v>
      </c>
      <c r="AF146" s="1">
        <f>AA146/Y146*1000</f>
        <v>175.00000000000003</v>
      </c>
      <c r="AG146" s="1">
        <f>(AB146*AC146)/60</f>
        <v>33.6</v>
      </c>
    </row>
    <row r="147" spans="1:33">
      <c r="A147" s="1">
        <v>2025</v>
      </c>
      <c r="B147" s="1">
        <v>8</v>
      </c>
      <c r="C147" s="1" t="s">
        <v>13</v>
      </c>
      <c r="D147" s="1">
        <v>12</v>
      </c>
      <c r="E147" s="1">
        <v>91</v>
      </c>
      <c r="F147" s="1" t="s">
        <v>9</v>
      </c>
      <c r="G147" s="1">
        <v>23.99</v>
      </c>
      <c r="I147" s="1">
        <v>29.45</v>
      </c>
      <c r="J147" s="1">
        <v>29.18</v>
      </c>
      <c r="M147" s="1">
        <v>11</v>
      </c>
      <c r="N147" s="1">
        <v>4</v>
      </c>
      <c r="O147" s="1">
        <f t="shared" si="68"/>
        <v>4.520124295383158</v>
      </c>
      <c r="P147" s="1">
        <f t="shared" si="66"/>
        <v>6.7494701099528838</v>
      </c>
      <c r="Q147" s="1">
        <f t="shared" si="67"/>
        <v>2.2293458145697258</v>
      </c>
      <c r="R147" s="1">
        <v>96</v>
      </c>
      <c r="S147" s="1">
        <v>275</v>
      </c>
      <c r="T147" s="1">
        <f>13+37+61+36</f>
        <v>147</v>
      </c>
      <c r="U147" s="1">
        <v>45</v>
      </c>
      <c r="V147" s="1">
        <v>46</v>
      </c>
      <c r="W147" s="1">
        <f t="shared" si="71"/>
        <v>238</v>
      </c>
      <c r="X147" s="31">
        <f t="shared" si="64"/>
        <v>0.66350423039999995</v>
      </c>
    </row>
    <row r="148" spans="1:33">
      <c r="A148" s="1">
        <v>2025</v>
      </c>
      <c r="B148" s="1">
        <v>8</v>
      </c>
      <c r="C148" s="1" t="s">
        <v>13</v>
      </c>
      <c r="D148" s="1">
        <v>11</v>
      </c>
      <c r="E148" s="1">
        <v>92</v>
      </c>
      <c r="F148" s="1" t="s">
        <v>9</v>
      </c>
      <c r="G148" s="1">
        <v>32</v>
      </c>
      <c r="I148" s="1">
        <v>40.840000000000003</v>
      </c>
      <c r="J148" s="1">
        <v>40.72</v>
      </c>
      <c r="M148" s="1">
        <v>7</v>
      </c>
      <c r="N148" s="1">
        <v>4</v>
      </c>
      <c r="O148" s="1">
        <f t="shared" si="68"/>
        <v>8.0424771931898711</v>
      </c>
      <c r="P148" s="1">
        <f t="shared" si="66"/>
        <v>13.061237430745294</v>
      </c>
      <c r="Q148" s="1">
        <f t="shared" si="67"/>
        <v>5.0187602375554228</v>
      </c>
      <c r="R148" s="1">
        <v>125</v>
      </c>
      <c r="S148" s="1">
        <v>348</v>
      </c>
      <c r="T148" s="1">
        <f>30+13+33+43+32</f>
        <v>151</v>
      </c>
      <c r="U148" s="1">
        <f>63+47</f>
        <v>110</v>
      </c>
      <c r="V148" s="1">
        <v>106</v>
      </c>
      <c r="W148" s="1">
        <f t="shared" si="71"/>
        <v>367</v>
      </c>
      <c r="X148" s="31">
        <f t="shared" si="64"/>
        <v>1.4235338749999999</v>
      </c>
    </row>
    <row r="149" spans="1:33">
      <c r="A149" s="1">
        <v>2025</v>
      </c>
      <c r="B149" s="1">
        <v>8</v>
      </c>
      <c r="C149" s="1" t="s">
        <v>13</v>
      </c>
      <c r="D149" s="1">
        <v>12</v>
      </c>
      <c r="E149" s="1">
        <v>93</v>
      </c>
      <c r="F149" s="1" t="s">
        <v>9</v>
      </c>
      <c r="G149" s="1">
        <v>25.74</v>
      </c>
      <c r="I149" s="1">
        <v>31.08</v>
      </c>
      <c r="J149" s="1">
        <v>32.97</v>
      </c>
      <c r="M149" s="1">
        <v>0</v>
      </c>
      <c r="N149" s="1">
        <v>3</v>
      </c>
      <c r="O149" s="1">
        <f t="shared" si="68"/>
        <v>5.2036366820338715</v>
      </c>
      <c r="P149" s="1">
        <f t="shared" si="66"/>
        <v>8.0550484725427491</v>
      </c>
      <c r="Q149" s="1">
        <f t="shared" si="67"/>
        <v>2.8514117905088776</v>
      </c>
      <c r="R149" s="1">
        <v>115</v>
      </c>
      <c r="S149" s="1">
        <v>277</v>
      </c>
      <c r="T149" s="1">
        <f>102+32</f>
        <v>134</v>
      </c>
      <c r="U149" s="1">
        <v>31</v>
      </c>
      <c r="V149" s="1">
        <v>92</v>
      </c>
      <c r="W149" s="1">
        <f t="shared" si="71"/>
        <v>257</v>
      </c>
      <c r="X149" s="31">
        <f t="shared" si="64"/>
        <v>0.95905604278333334</v>
      </c>
    </row>
    <row r="150" spans="1:33">
      <c r="A150" s="1">
        <v>2025</v>
      </c>
      <c r="B150" s="1">
        <v>9</v>
      </c>
      <c r="C150" s="1" t="s">
        <v>13</v>
      </c>
      <c r="D150" s="1">
        <v>11</v>
      </c>
      <c r="E150" s="1">
        <v>100</v>
      </c>
      <c r="F150" s="1" t="s">
        <v>10</v>
      </c>
      <c r="G150" s="1">
        <v>27.52</v>
      </c>
      <c r="I150" s="1">
        <v>35.92</v>
      </c>
      <c r="J150" s="1">
        <v>36.409999999999997</v>
      </c>
      <c r="M150" s="1">
        <v>0</v>
      </c>
      <c r="N150" s="1">
        <v>1</v>
      </c>
      <c r="O150" s="1">
        <f t="shared" si="68"/>
        <v>5.9482161320832274</v>
      </c>
      <c r="P150" s="1">
        <f t="shared" si="66"/>
        <v>10.272279324092532</v>
      </c>
      <c r="Q150" s="1">
        <f t="shared" si="67"/>
        <v>4.3240631920093042</v>
      </c>
      <c r="R150" s="1">
        <v>154</v>
      </c>
      <c r="S150" s="1">
        <v>336</v>
      </c>
      <c r="T150" s="1">
        <f>108+48+67+10</f>
        <v>233</v>
      </c>
      <c r="U150" s="1">
        <v>63</v>
      </c>
      <c r="V150" s="1">
        <v>62</v>
      </c>
      <c r="W150" s="1">
        <f t="shared" si="71"/>
        <v>358</v>
      </c>
      <c r="X150" s="31">
        <f t="shared" si="64"/>
        <v>2.0861678844160001</v>
      </c>
    </row>
    <row r="151" spans="1:33">
      <c r="A151" s="1">
        <v>2025</v>
      </c>
      <c r="B151" s="1">
        <v>9</v>
      </c>
      <c r="C151" s="1" t="s">
        <v>13</v>
      </c>
      <c r="D151" s="1">
        <v>11</v>
      </c>
      <c r="E151" s="1">
        <v>101</v>
      </c>
      <c r="F151" s="1" t="s">
        <v>10</v>
      </c>
      <c r="G151" s="1">
        <v>22.67</v>
      </c>
      <c r="I151" s="1">
        <v>27.73</v>
      </c>
      <c r="J151" s="1">
        <v>27.12</v>
      </c>
      <c r="M151" s="1">
        <v>4</v>
      </c>
      <c r="N151" s="1">
        <v>3</v>
      </c>
      <c r="O151" s="1">
        <f t="shared" si="68"/>
        <v>4.0363881417687102</v>
      </c>
      <c r="P151" s="1">
        <f t="shared" si="66"/>
        <v>5.9072201150997499</v>
      </c>
      <c r="Q151" s="1">
        <f t="shared" si="67"/>
        <v>1.8708319733310397</v>
      </c>
      <c r="R151" s="1">
        <v>152</v>
      </c>
      <c r="S151" s="1">
        <v>283</v>
      </c>
      <c r="T151" s="1">
        <f>98+10+20</f>
        <v>128</v>
      </c>
      <c r="U151" s="1">
        <v>135</v>
      </c>
      <c r="V151" s="1">
        <v>43</v>
      </c>
      <c r="W151" s="1">
        <f t="shared" si="71"/>
        <v>306</v>
      </c>
      <c r="X151" s="31">
        <f t="shared" si="64"/>
        <v>1.7117571386453334</v>
      </c>
    </row>
    <row r="152" spans="1:33">
      <c r="A152" s="1">
        <v>2025</v>
      </c>
      <c r="B152" s="1">
        <v>9</v>
      </c>
      <c r="C152" s="1" t="s">
        <v>13</v>
      </c>
      <c r="D152" s="1">
        <v>11</v>
      </c>
      <c r="E152" s="1">
        <v>102</v>
      </c>
      <c r="F152" s="1" t="s">
        <v>10</v>
      </c>
      <c r="G152" s="1">
        <v>32.67</v>
      </c>
      <c r="I152" s="1">
        <v>37.65</v>
      </c>
      <c r="J152" s="1">
        <v>42.34</v>
      </c>
      <c r="M152" s="1">
        <v>2</v>
      </c>
      <c r="N152" s="1">
        <v>3</v>
      </c>
      <c r="O152" s="1">
        <f t="shared" si="68"/>
        <v>8.3827815780101886</v>
      </c>
      <c r="P152" s="1">
        <f t="shared" si="66"/>
        <v>12.563229218055124</v>
      </c>
      <c r="Q152" s="1">
        <f t="shared" si="67"/>
        <v>4.1804476400449353</v>
      </c>
      <c r="R152" s="1">
        <v>143</v>
      </c>
      <c r="S152" s="1">
        <v>356</v>
      </c>
      <c r="T152" s="1">
        <f>83+72+57+55</f>
        <v>267</v>
      </c>
      <c r="U152" s="1">
        <f>79+17</f>
        <v>96</v>
      </c>
      <c r="V152" s="1">
        <v>44</v>
      </c>
      <c r="W152" s="1">
        <f t="shared" si="71"/>
        <v>407</v>
      </c>
      <c r="X152" s="31">
        <f t="shared" si="64"/>
        <v>1.9058583059706666</v>
      </c>
      <c r="Y152" s="1">
        <v>39</v>
      </c>
      <c r="Z152" s="1">
        <f t="shared" si="69"/>
        <v>3.1042974161413475</v>
      </c>
      <c r="AA152" s="1">
        <v>8.0400000000000009</v>
      </c>
      <c r="AB152" s="1">
        <v>3</v>
      </c>
      <c r="AC152" s="1">
        <v>4032</v>
      </c>
      <c r="AD152" s="1">
        <f>(AA152*AC152)/1000</f>
        <v>32.417280000000005</v>
      </c>
      <c r="AE152" s="1">
        <f t="shared" si="70"/>
        <v>0.63996285194298552</v>
      </c>
      <c r="AF152" s="1">
        <f>AA152/Y152*1000</f>
        <v>206.15384615384619</v>
      </c>
      <c r="AG152" s="1">
        <f>(AB152*AC152)/60</f>
        <v>201.6</v>
      </c>
    </row>
    <row r="153" spans="1:33">
      <c r="A153" s="1">
        <v>2025</v>
      </c>
      <c r="B153" s="1">
        <v>9</v>
      </c>
      <c r="C153" s="1" t="s">
        <v>13</v>
      </c>
      <c r="D153" s="1">
        <v>11</v>
      </c>
      <c r="E153" s="1">
        <v>103</v>
      </c>
      <c r="F153" s="1" t="s">
        <v>10</v>
      </c>
      <c r="G153" s="1">
        <v>23.35</v>
      </c>
      <c r="I153" s="1">
        <v>27.12</v>
      </c>
      <c r="J153" s="1">
        <v>24.3</v>
      </c>
      <c r="M153" s="1">
        <v>6</v>
      </c>
      <c r="N153" s="1">
        <v>2</v>
      </c>
      <c r="O153" s="1">
        <f t="shared" si="68"/>
        <v>4.2821675014296519</v>
      </c>
      <c r="P153" s="1">
        <f t="shared" si="66"/>
        <v>5.1915140613818327</v>
      </c>
      <c r="Q153" s="1">
        <f t="shared" si="67"/>
        <v>0.90934655995218083</v>
      </c>
      <c r="R153" s="1">
        <v>115</v>
      </c>
      <c r="S153" s="1">
        <v>282</v>
      </c>
      <c r="T153" s="1">
        <f>20+39+43</f>
        <v>102</v>
      </c>
      <c r="U153" s="1">
        <v>34</v>
      </c>
      <c r="V153" s="1">
        <v>37</v>
      </c>
      <c r="W153" s="1">
        <f t="shared" si="71"/>
        <v>173</v>
      </c>
      <c r="X153" s="31">
        <f t="shared" si="64"/>
        <v>0.97636752369999991</v>
      </c>
    </row>
    <row r="154" spans="1:33">
      <c r="A154" s="1">
        <v>2025</v>
      </c>
      <c r="B154" s="1">
        <v>9</v>
      </c>
      <c r="C154" s="1" t="s">
        <v>13</v>
      </c>
      <c r="D154" s="1">
        <v>11</v>
      </c>
      <c r="E154" s="1">
        <v>104</v>
      </c>
      <c r="F154" s="1" t="s">
        <v>10</v>
      </c>
      <c r="G154" s="1">
        <v>28.23</v>
      </c>
      <c r="I154" s="1">
        <v>35.479999999999997</v>
      </c>
      <c r="J154" s="1">
        <v>33.51</v>
      </c>
      <c r="M154" s="1">
        <v>3</v>
      </c>
      <c r="N154" s="1">
        <v>2</v>
      </c>
      <c r="O154" s="1">
        <f t="shared" si="68"/>
        <v>6.2590963601100231</v>
      </c>
      <c r="P154" s="1">
        <f t="shared" si="66"/>
        <v>9.3454922125239452</v>
      </c>
      <c r="Q154" s="1">
        <f t="shared" si="67"/>
        <v>3.0863958524139221</v>
      </c>
      <c r="R154" s="1">
        <v>126</v>
      </c>
      <c r="S154" s="1">
        <v>335</v>
      </c>
      <c r="T154" s="1">
        <f>27+69+44+63+18</f>
        <v>221</v>
      </c>
      <c r="U154" s="1">
        <v>77</v>
      </c>
      <c r="V154" s="1">
        <f>47+20</f>
        <v>67</v>
      </c>
      <c r="W154" s="1">
        <f t="shared" si="71"/>
        <v>365</v>
      </c>
      <c r="X154" s="31">
        <f t="shared" si="64"/>
        <v>1.39236928236</v>
      </c>
      <c r="Y154" s="1">
        <v>6</v>
      </c>
      <c r="Z154" s="1">
        <f t="shared" si="69"/>
        <v>0.64202075862407404</v>
      </c>
      <c r="AA154" s="1">
        <v>1.1199999999999999</v>
      </c>
      <c r="AB154" s="1">
        <v>1</v>
      </c>
      <c r="AC154" s="1">
        <v>4032</v>
      </c>
      <c r="AD154" s="1">
        <f>(AA154*AC154)/1000</f>
        <v>4.515839999999999</v>
      </c>
      <c r="AE154" s="1">
        <f t="shared" si="70"/>
        <v>0.11984387494316048</v>
      </c>
      <c r="AF154" s="1">
        <f>AA154/Y154*1000</f>
        <v>186.66666666666666</v>
      </c>
      <c r="AG154" s="1">
        <f>(AB154*AC154)/60</f>
        <v>67.2</v>
      </c>
    </row>
    <row r="155" spans="1:33">
      <c r="A155" s="1">
        <v>2025</v>
      </c>
      <c r="B155" s="1">
        <v>9</v>
      </c>
      <c r="C155" s="1" t="s">
        <v>13</v>
      </c>
      <c r="D155" s="1">
        <v>11</v>
      </c>
      <c r="E155" s="1">
        <v>105</v>
      </c>
      <c r="F155" s="1" t="s">
        <v>10</v>
      </c>
      <c r="G155" s="1">
        <v>27.55</v>
      </c>
      <c r="I155" s="1">
        <v>33.69</v>
      </c>
      <c r="J155" s="1">
        <v>32.4</v>
      </c>
      <c r="M155" s="1">
        <v>4</v>
      </c>
      <c r="N155" s="1">
        <v>2</v>
      </c>
      <c r="O155" s="1">
        <f t="shared" si="68"/>
        <v>5.9611916951407169</v>
      </c>
      <c r="P155" s="1">
        <f t="shared" si="66"/>
        <v>8.5763282291639236</v>
      </c>
      <c r="Q155" s="1">
        <f t="shared" si="67"/>
        <v>2.6151365340232067</v>
      </c>
      <c r="R155" s="1">
        <v>127</v>
      </c>
      <c r="S155" s="1">
        <v>265</v>
      </c>
      <c r="T155" s="1">
        <v>62</v>
      </c>
      <c r="U155" s="1">
        <f>63+50</f>
        <v>113</v>
      </c>
      <c r="V155" s="1">
        <f>132+62</f>
        <v>194</v>
      </c>
      <c r="W155" s="1">
        <f t="shared" si="71"/>
        <v>369</v>
      </c>
      <c r="X155" s="31">
        <f t="shared" si="64"/>
        <v>1.1189787835433334</v>
      </c>
      <c r="Y155" s="1">
        <v>27</v>
      </c>
      <c r="Z155" s="1">
        <f t="shared" si="69"/>
        <v>3.1482004044791716</v>
      </c>
      <c r="AA155" s="1">
        <v>5.5</v>
      </c>
      <c r="AB155" s="1">
        <v>2</v>
      </c>
      <c r="AC155" s="1">
        <v>4032</v>
      </c>
      <c r="AD155" s="1">
        <f>(AA155*AC155)/1000</f>
        <v>22.175999999999998</v>
      </c>
      <c r="AE155" s="1">
        <f t="shared" si="70"/>
        <v>0.64130008239390524</v>
      </c>
      <c r="AF155" s="1">
        <f>AA155/Y155*1000</f>
        <v>203.7037037037037</v>
      </c>
      <c r="AG155" s="1">
        <f>(AB155*AC155)/60</f>
        <v>134.4</v>
      </c>
    </row>
    <row r="156" spans="1:33">
      <c r="A156" s="1">
        <v>2025</v>
      </c>
      <c r="B156" s="1">
        <v>10</v>
      </c>
      <c r="C156" s="1" t="s">
        <v>13</v>
      </c>
      <c r="D156" s="1">
        <v>11</v>
      </c>
      <c r="E156" s="1">
        <v>111</v>
      </c>
      <c r="F156" s="1" t="s">
        <v>7</v>
      </c>
      <c r="G156" s="1">
        <v>34.770000000000003</v>
      </c>
      <c r="I156" s="1">
        <v>39.08</v>
      </c>
      <c r="J156" s="1">
        <v>39.31</v>
      </c>
      <c r="M156" s="1">
        <v>2</v>
      </c>
      <c r="N156" s="1">
        <v>1</v>
      </c>
      <c r="O156" s="1">
        <f t="shared" si="68"/>
        <v>9.4950938729401919</v>
      </c>
      <c r="P156" s="1">
        <f t="shared" si="66"/>
        <v>12.065663773579573</v>
      </c>
      <c r="Q156" s="1">
        <f t="shared" si="67"/>
        <v>2.5705699006393807</v>
      </c>
      <c r="R156" s="1">
        <v>326</v>
      </c>
      <c r="S156" s="1">
        <v>150</v>
      </c>
      <c r="T156" s="1">
        <f>135+80+92+50+50+71</f>
        <v>478</v>
      </c>
      <c r="U156" s="1">
        <f>137+48+62</f>
        <v>247</v>
      </c>
      <c r="V156" s="1">
        <v>44</v>
      </c>
      <c r="W156" s="1">
        <f t="shared" si="71"/>
        <v>769</v>
      </c>
      <c r="X156" s="31">
        <f t="shared" si="64"/>
        <v>4.1734478924000005</v>
      </c>
    </row>
    <row r="157" spans="1:33">
      <c r="A157" s="1">
        <v>2025</v>
      </c>
      <c r="B157" s="1">
        <v>10</v>
      </c>
      <c r="C157" s="1" t="s">
        <v>13</v>
      </c>
      <c r="D157" s="1">
        <v>11</v>
      </c>
      <c r="E157" s="1">
        <v>112</v>
      </c>
      <c r="F157" s="1" t="s">
        <v>7</v>
      </c>
      <c r="G157" s="1">
        <v>27.91</v>
      </c>
      <c r="I157" s="1">
        <v>31.96</v>
      </c>
      <c r="J157" s="1">
        <v>30.48</v>
      </c>
      <c r="M157" s="1">
        <v>3</v>
      </c>
      <c r="N157" s="1">
        <v>1</v>
      </c>
      <c r="O157" s="1">
        <f t="shared" si="68"/>
        <v>6.118001150851998</v>
      </c>
      <c r="P157" s="1">
        <f t="shared" si="66"/>
        <v>7.6551847924479741</v>
      </c>
      <c r="Q157" s="1">
        <f t="shared" si="67"/>
        <v>1.5371836415959761</v>
      </c>
      <c r="R157" s="1">
        <v>142</v>
      </c>
      <c r="S157" s="1">
        <f>95+140</f>
        <v>235</v>
      </c>
      <c r="T157" s="1">
        <v>93</v>
      </c>
      <c r="U157" s="1">
        <v>113</v>
      </c>
      <c r="V157" s="1">
        <f>44+135+50+56</f>
        <v>285</v>
      </c>
      <c r="W157" s="1">
        <f t="shared" si="71"/>
        <v>491</v>
      </c>
      <c r="X157" s="31">
        <f t="shared" si="64"/>
        <v>1.2405466129733334</v>
      </c>
      <c r="Y157" s="1">
        <v>19</v>
      </c>
      <c r="Z157" s="1">
        <f t="shared" si="69"/>
        <v>2.4819779685454439</v>
      </c>
      <c r="AA157" s="1">
        <v>3.9399999999999995</v>
      </c>
      <c r="AB157" s="1">
        <v>2</v>
      </c>
      <c r="AC157" s="1">
        <v>4032</v>
      </c>
      <c r="AD157" s="1">
        <f>(AA157*AC157)/1000</f>
        <v>15.886079999999998</v>
      </c>
      <c r="AE157" s="1">
        <f t="shared" si="70"/>
        <v>0.51468385242468673</v>
      </c>
      <c r="AF157" s="1">
        <f>AA157/Y157*1000</f>
        <v>207.36842105263156</v>
      </c>
      <c r="AG157" s="1">
        <f>(AB157*AC157)/60</f>
        <v>134.4</v>
      </c>
    </row>
    <row r="158" spans="1:33">
      <c r="A158" s="1">
        <v>2025</v>
      </c>
      <c r="B158" s="1">
        <v>10</v>
      </c>
      <c r="C158" s="1" t="s">
        <v>13</v>
      </c>
      <c r="D158" s="1">
        <v>11</v>
      </c>
      <c r="E158" s="1">
        <v>113</v>
      </c>
      <c r="F158" s="1" t="s">
        <v>7</v>
      </c>
      <c r="G158" s="1">
        <v>32.14</v>
      </c>
      <c r="I158" s="1">
        <v>38.4</v>
      </c>
      <c r="J158" s="1">
        <v>35.869999999999997</v>
      </c>
      <c r="M158" s="1">
        <v>0</v>
      </c>
      <c r="N158" s="1">
        <v>1</v>
      </c>
      <c r="O158" s="1">
        <f t="shared" si="68"/>
        <v>8.1130028066703073</v>
      </c>
      <c r="P158" s="1">
        <f t="shared" si="66"/>
        <v>10.83070527224975</v>
      </c>
      <c r="Q158" s="1">
        <f t="shared" si="67"/>
        <v>2.7177024655794426</v>
      </c>
      <c r="R158" s="1">
        <v>162</v>
      </c>
      <c r="S158" s="1">
        <v>361</v>
      </c>
      <c r="T158" s="1">
        <f>53+47</f>
        <v>100</v>
      </c>
      <c r="U158" s="1">
        <v>143</v>
      </c>
      <c r="V158" s="1">
        <f>14+110+49+25+40+33</f>
        <v>271</v>
      </c>
      <c r="W158" s="1">
        <f t="shared" si="71"/>
        <v>514</v>
      </c>
      <c r="X158" s="31">
        <f t="shared" si="64"/>
        <v>2.4803088751440003</v>
      </c>
      <c r="Y158" s="1">
        <v>52</v>
      </c>
      <c r="Z158" s="1">
        <f t="shared" si="69"/>
        <v>4.8011647157672659</v>
      </c>
      <c r="AA158" s="1">
        <v>9.56</v>
      </c>
      <c r="AB158" s="1">
        <v>4</v>
      </c>
      <c r="AC158" s="1">
        <v>4032</v>
      </c>
      <c r="AD158" s="1">
        <f>(AA158*AC158)/1000</f>
        <v>38.545920000000002</v>
      </c>
      <c r="AE158" s="1">
        <f t="shared" si="70"/>
        <v>0.88267566697567434</v>
      </c>
      <c r="AF158" s="1">
        <f>AA158/Y158*1000</f>
        <v>183.84615384615384</v>
      </c>
      <c r="AG158" s="1">
        <f>(AB158*AC158)/60</f>
        <v>268.8</v>
      </c>
    </row>
    <row r="159" spans="1:33">
      <c r="A159" s="1">
        <v>2025</v>
      </c>
      <c r="B159" s="1">
        <v>10</v>
      </c>
      <c r="C159" s="1" t="s">
        <v>13</v>
      </c>
      <c r="D159" s="1">
        <v>11</v>
      </c>
      <c r="E159" s="1">
        <v>114</v>
      </c>
      <c r="F159" s="1" t="s">
        <v>7</v>
      </c>
      <c r="G159" s="1">
        <v>31.89</v>
      </c>
      <c r="I159" s="1">
        <v>39.68</v>
      </c>
      <c r="J159" s="1">
        <v>36.200000000000003</v>
      </c>
      <c r="M159" s="1">
        <v>4</v>
      </c>
      <c r="N159" s="1">
        <v>1</v>
      </c>
      <c r="O159" s="1">
        <f t="shared" si="68"/>
        <v>7.9872801956644617</v>
      </c>
      <c r="P159" s="1">
        <f t="shared" si="66"/>
        <v>11.30536359754211</v>
      </c>
      <c r="Q159" s="1">
        <f t="shared" si="67"/>
        <v>3.3180834018776482</v>
      </c>
      <c r="R159" s="1">
        <v>172</v>
      </c>
      <c r="S159" s="1">
        <v>347</v>
      </c>
      <c r="T159" s="1">
        <v>108</v>
      </c>
      <c r="U159" s="1">
        <f>80+44+37+33</f>
        <v>194</v>
      </c>
      <c r="V159" s="1">
        <v>181</v>
      </c>
      <c r="W159" s="1">
        <f t="shared" si="71"/>
        <v>483</v>
      </c>
      <c r="X159" s="31">
        <f t="shared" si="64"/>
        <v>2.6875398026346669</v>
      </c>
      <c r="Y159" s="1">
        <v>32</v>
      </c>
      <c r="Z159" s="1">
        <f t="shared" si="69"/>
        <v>2.8305148900259249</v>
      </c>
      <c r="AA159" s="1">
        <v>5.62</v>
      </c>
      <c r="AB159" s="1">
        <v>3</v>
      </c>
      <c r="AC159" s="1">
        <v>4032</v>
      </c>
      <c r="AD159" s="1">
        <f>(AA159*AC159)/1000</f>
        <v>22.659839999999999</v>
      </c>
      <c r="AE159" s="1">
        <f t="shared" si="70"/>
        <v>0.49710917756080308</v>
      </c>
      <c r="AF159" s="1">
        <f>AA159/Y159*1000</f>
        <v>175.625</v>
      </c>
      <c r="AG159" s="1">
        <f>(AB159*AC159)/60</f>
        <v>201.6</v>
      </c>
    </row>
    <row r="160" spans="1:33">
      <c r="A160" s="1">
        <v>2025</v>
      </c>
      <c r="B160" s="1">
        <v>10</v>
      </c>
      <c r="C160" s="1" t="s">
        <v>13</v>
      </c>
      <c r="D160" s="1">
        <v>11</v>
      </c>
      <c r="E160" s="1">
        <v>115</v>
      </c>
      <c r="F160" s="1" t="s">
        <v>7</v>
      </c>
      <c r="G160" s="1">
        <v>33.770000000000003</v>
      </c>
      <c r="I160" s="1">
        <v>39.97</v>
      </c>
      <c r="J160" s="1">
        <v>44.1</v>
      </c>
      <c r="M160" s="1">
        <v>1</v>
      </c>
      <c r="N160" s="1">
        <v>2</v>
      </c>
      <c r="O160" s="1">
        <f t="shared" si="68"/>
        <v>8.9567819717475796</v>
      </c>
      <c r="P160" s="1">
        <f t="shared" si="66"/>
        <v>13.877523929462376</v>
      </c>
      <c r="Q160" s="1">
        <f t="shared" si="67"/>
        <v>4.9207419577147959</v>
      </c>
      <c r="R160" s="1">
        <v>185</v>
      </c>
      <c r="S160" s="1">
        <v>298</v>
      </c>
      <c r="T160" s="1">
        <f>74+42+25+127+120</f>
        <v>388</v>
      </c>
      <c r="U160" s="1">
        <v>107</v>
      </c>
      <c r="V160" s="1">
        <v>154</v>
      </c>
      <c r="W160" s="1">
        <f t="shared" si="71"/>
        <v>649</v>
      </c>
      <c r="X160" s="31">
        <f t="shared" si="64"/>
        <v>2.6701044906333338</v>
      </c>
    </row>
    <row r="161" spans="1:24">
      <c r="A161" s="1">
        <v>2025</v>
      </c>
      <c r="B161" s="1">
        <v>10</v>
      </c>
      <c r="C161" s="1" t="s">
        <v>13</v>
      </c>
      <c r="D161" s="1">
        <v>11</v>
      </c>
      <c r="E161" s="1">
        <v>116</v>
      </c>
      <c r="F161" s="1" t="s">
        <v>7</v>
      </c>
      <c r="G161" s="1">
        <v>29.4</v>
      </c>
      <c r="I161" s="1">
        <v>34.54</v>
      </c>
      <c r="J161" s="1">
        <v>39.24</v>
      </c>
      <c r="M161" s="1">
        <v>1</v>
      </c>
      <c r="N161" s="1">
        <v>1</v>
      </c>
      <c r="O161" s="1">
        <f t="shared" si="68"/>
        <v>6.7886675651421831</v>
      </c>
      <c r="P161" s="1">
        <f t="shared" si="66"/>
        <v>10.688264479588286</v>
      </c>
      <c r="Q161" s="1">
        <f t="shared" si="67"/>
        <v>3.8995969144461027</v>
      </c>
      <c r="R161" s="1">
        <v>187</v>
      </c>
      <c r="S161" s="1">
        <v>366</v>
      </c>
      <c r="T161" s="1">
        <f>25+37+37+46+58+23+21+50+43</f>
        <v>340</v>
      </c>
      <c r="U161" s="1">
        <v>94</v>
      </c>
      <c r="V161" s="1">
        <v>102</v>
      </c>
      <c r="W161" s="1">
        <f t="shared" si="71"/>
        <v>536</v>
      </c>
      <c r="X161" s="31">
        <f t="shared" si="64"/>
        <v>3.3506790847640002</v>
      </c>
    </row>
    <row r="162" spans="1:24">
      <c r="A162" s="1">
        <v>2025</v>
      </c>
      <c r="B162" s="1">
        <v>10</v>
      </c>
      <c r="C162" s="1" t="s">
        <v>13</v>
      </c>
      <c r="D162" s="1">
        <v>11</v>
      </c>
      <c r="E162" s="1">
        <v>117</v>
      </c>
      <c r="F162" s="1" t="s">
        <v>7</v>
      </c>
      <c r="G162" s="1">
        <v>35.89</v>
      </c>
      <c r="I162" s="1">
        <v>45.14</v>
      </c>
      <c r="J162" s="1">
        <v>48.41</v>
      </c>
      <c r="M162" s="1">
        <v>2</v>
      </c>
      <c r="N162" s="1">
        <v>2</v>
      </c>
      <c r="O162" s="1">
        <f t="shared" si="68"/>
        <v>10.116651696267622</v>
      </c>
      <c r="P162" s="1">
        <f t="shared" si="66"/>
        <v>17.183731325711296</v>
      </c>
      <c r="Q162" s="1">
        <f t="shared" si="67"/>
        <v>7.0670796294436737</v>
      </c>
      <c r="X162" s="31"/>
    </row>
    <row r="163" spans="1:24">
      <c r="A163" s="1">
        <v>2025</v>
      </c>
      <c r="B163" s="1">
        <v>10</v>
      </c>
      <c r="C163" s="1" t="s">
        <v>13</v>
      </c>
      <c r="D163" s="1">
        <v>11</v>
      </c>
      <c r="E163" s="1">
        <v>119</v>
      </c>
      <c r="F163" s="1" t="s">
        <v>7</v>
      </c>
      <c r="G163" s="1">
        <v>32.43</v>
      </c>
      <c r="I163" s="1">
        <v>35.1</v>
      </c>
      <c r="J163" s="1">
        <v>37.58</v>
      </c>
      <c r="M163" s="1">
        <v>10</v>
      </c>
      <c r="N163" s="1">
        <v>1</v>
      </c>
      <c r="O163" s="1">
        <f t="shared" si="68"/>
        <v>8.2600709689609708</v>
      </c>
      <c r="P163" s="1">
        <f t="shared" si="66"/>
        <v>10.371933588307515</v>
      </c>
      <c r="Q163" s="1">
        <f t="shared" si="67"/>
        <v>2.1118626193465442</v>
      </c>
      <c r="X163" s="3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D6B0-13FB-4017-928C-6D5099884C74}">
  <dimension ref="A1:S902"/>
  <sheetViews>
    <sheetView zoomScaleNormal="100" workbookViewId="0">
      <selection activeCell="O6" sqref="O6"/>
    </sheetView>
  </sheetViews>
  <sheetFormatPr defaultRowHeight="14.4"/>
  <cols>
    <col min="1" max="1" width="5.21875" bestFit="1" customWidth="1"/>
    <col min="2" max="2" width="11.21875" bestFit="1" customWidth="1"/>
    <col min="3" max="3" width="9" bestFit="1" customWidth="1"/>
    <col min="4" max="4" width="6.77734375" bestFit="1" customWidth="1"/>
    <col min="5" max="7" width="9.77734375" customWidth="1"/>
    <col min="8" max="8" width="6.21875" customWidth="1"/>
    <col min="9" max="9" width="7.21875" customWidth="1"/>
    <col min="10" max="11" width="9.77734375" customWidth="1"/>
    <col min="12" max="13" width="8.77734375" customWidth="1"/>
    <col min="14" max="14" width="6.21875" bestFit="1" customWidth="1"/>
    <col min="15" max="15" width="6.77734375" bestFit="1" customWidth="1"/>
    <col min="16" max="17" width="6.21875" bestFit="1" customWidth="1"/>
    <col min="18" max="18" width="7.21875" bestFit="1" customWidth="1"/>
    <col min="19" max="19" width="8.21875" bestFit="1" customWidth="1"/>
  </cols>
  <sheetData>
    <row r="1" spans="1:19">
      <c r="E1" t="s">
        <v>312</v>
      </c>
      <c r="F1" t="s">
        <v>312</v>
      </c>
      <c r="H1" t="s">
        <v>312</v>
      </c>
      <c r="I1" t="s">
        <v>324</v>
      </c>
      <c r="J1" t="s">
        <v>328</v>
      </c>
      <c r="K1" t="s">
        <v>450</v>
      </c>
    </row>
    <row r="2" spans="1:19" s="25" customFormat="1">
      <c r="A2" s="24" t="s">
        <v>0</v>
      </c>
      <c r="B2" s="24" t="s">
        <v>37</v>
      </c>
      <c r="C2" s="24" t="s">
        <v>23</v>
      </c>
      <c r="D2" s="24" t="s">
        <v>39</v>
      </c>
      <c r="E2" s="24" t="s">
        <v>330</v>
      </c>
      <c r="F2" s="24" t="s">
        <v>331</v>
      </c>
      <c r="G2" s="24" t="s">
        <v>449</v>
      </c>
      <c r="H2" s="24" t="s">
        <v>315</v>
      </c>
      <c r="I2" s="24" t="s">
        <v>329</v>
      </c>
      <c r="J2" s="24" t="s">
        <v>454</v>
      </c>
      <c r="K2" s="24" t="s">
        <v>451</v>
      </c>
      <c r="L2" s="50" t="s">
        <v>452</v>
      </c>
      <c r="M2" s="50" t="s">
        <v>469</v>
      </c>
      <c r="N2" s="25" t="s">
        <v>18</v>
      </c>
      <c r="O2" s="25" t="s">
        <v>19</v>
      </c>
      <c r="P2" s="25" t="s">
        <v>20</v>
      </c>
      <c r="Q2" s="25" t="s">
        <v>21</v>
      </c>
      <c r="R2" s="25" t="s">
        <v>455</v>
      </c>
      <c r="S2" s="50" t="s">
        <v>453</v>
      </c>
    </row>
    <row r="3" spans="1:19">
      <c r="A3" s="3">
        <v>2025</v>
      </c>
      <c r="B3" s="3" t="s">
        <v>13</v>
      </c>
      <c r="C3" s="3" t="s">
        <v>9</v>
      </c>
      <c r="D3" s="3">
        <v>1</v>
      </c>
      <c r="E3" s="3">
        <v>76.069999999999993</v>
      </c>
      <c r="F3" s="3">
        <v>70.89</v>
      </c>
      <c r="G3" s="3">
        <f>MAX(E3:F3)</f>
        <v>76.069999999999993</v>
      </c>
      <c r="H3" s="3">
        <v>64.98</v>
      </c>
      <c r="I3" s="3">
        <v>184.46</v>
      </c>
      <c r="J3" s="3">
        <v>80</v>
      </c>
      <c r="K3" s="3">
        <v>12.8</v>
      </c>
      <c r="L3">
        <v>0.2787</v>
      </c>
      <c r="M3">
        <v>5</v>
      </c>
    </row>
    <row r="4" spans="1:19">
      <c r="A4" s="3">
        <v>2025</v>
      </c>
      <c r="B4" s="3" t="s">
        <v>13</v>
      </c>
      <c r="C4" s="3" t="s">
        <v>9</v>
      </c>
      <c r="D4" s="3">
        <v>2</v>
      </c>
      <c r="E4" s="3">
        <v>73.39</v>
      </c>
      <c r="F4" s="3">
        <v>73.510000000000005</v>
      </c>
      <c r="G4" s="3">
        <f t="shared" ref="G4:G67" si="0">MAX(E4:F4)</f>
        <v>73.510000000000005</v>
      </c>
      <c r="H4" s="3">
        <v>61.69</v>
      </c>
      <c r="I4" s="3">
        <v>181.17</v>
      </c>
      <c r="J4" s="3">
        <v>60</v>
      </c>
      <c r="K4" s="3">
        <v>12.5</v>
      </c>
      <c r="L4">
        <v>0.61240000000000006</v>
      </c>
      <c r="M4">
        <v>2</v>
      </c>
    </row>
    <row r="5" spans="1:19">
      <c r="A5" s="3">
        <v>2025</v>
      </c>
      <c r="B5" s="3" t="s">
        <v>13</v>
      </c>
      <c r="C5" s="3" t="s">
        <v>9</v>
      </c>
      <c r="D5" s="3">
        <v>3</v>
      </c>
      <c r="E5" s="3">
        <v>76.849999999999994</v>
      </c>
      <c r="F5" s="3">
        <v>74.2</v>
      </c>
      <c r="G5" s="3">
        <f t="shared" si="0"/>
        <v>76.849999999999994</v>
      </c>
      <c r="H5" s="3">
        <v>64</v>
      </c>
      <c r="I5" s="3">
        <v>192.8</v>
      </c>
      <c r="J5" s="3">
        <v>100</v>
      </c>
      <c r="K5" s="3">
        <v>14.9</v>
      </c>
      <c r="L5">
        <v>0.91120000000000001</v>
      </c>
      <c r="M5">
        <v>3</v>
      </c>
    </row>
    <row r="6" spans="1:19">
      <c r="A6" s="3">
        <v>2025</v>
      </c>
      <c r="B6" s="3" t="s">
        <v>13</v>
      </c>
      <c r="C6" s="3" t="s">
        <v>9</v>
      </c>
      <c r="D6" s="3">
        <v>4</v>
      </c>
      <c r="E6" s="3">
        <v>75.55</v>
      </c>
      <c r="F6" s="3">
        <v>72.290000000000006</v>
      </c>
      <c r="G6" s="3">
        <f t="shared" si="0"/>
        <v>75.55</v>
      </c>
      <c r="H6" s="3">
        <v>62.62</v>
      </c>
      <c r="I6" s="3">
        <v>172.58</v>
      </c>
      <c r="J6" s="3">
        <v>80</v>
      </c>
      <c r="K6" s="3">
        <v>14.7</v>
      </c>
      <c r="L6">
        <v>0.2109</v>
      </c>
      <c r="M6">
        <v>5</v>
      </c>
    </row>
    <row r="7" spans="1:19">
      <c r="A7" s="3">
        <v>2025</v>
      </c>
      <c r="B7" s="3" t="s">
        <v>13</v>
      </c>
      <c r="C7" s="3" t="s">
        <v>9</v>
      </c>
      <c r="D7" s="3">
        <v>5</v>
      </c>
      <c r="E7" s="3">
        <v>77.2</v>
      </c>
      <c r="F7" s="3">
        <v>74.77</v>
      </c>
      <c r="G7" s="3">
        <f t="shared" si="0"/>
        <v>77.2</v>
      </c>
      <c r="H7" s="3">
        <v>69.87</v>
      </c>
      <c r="I7" s="3">
        <v>206.32</v>
      </c>
      <c r="J7" s="3">
        <v>80</v>
      </c>
      <c r="K7" s="3">
        <v>12.6</v>
      </c>
      <c r="L7">
        <v>0.1973</v>
      </c>
      <c r="M7">
        <v>6</v>
      </c>
    </row>
    <row r="8" spans="1:19">
      <c r="A8" s="3">
        <v>2025</v>
      </c>
      <c r="B8" s="3" t="s">
        <v>13</v>
      </c>
      <c r="C8" s="3" t="s">
        <v>9</v>
      </c>
      <c r="D8" s="3">
        <v>6</v>
      </c>
      <c r="E8" s="3">
        <v>79.739999999999995</v>
      </c>
      <c r="F8" s="3">
        <v>76.64</v>
      </c>
      <c r="G8" s="3">
        <f t="shared" si="0"/>
        <v>79.739999999999995</v>
      </c>
      <c r="H8" s="3">
        <v>67.23</v>
      </c>
      <c r="I8" s="3">
        <v>219.62</v>
      </c>
      <c r="J8" s="3">
        <v>80</v>
      </c>
      <c r="K8" s="3">
        <v>12.2</v>
      </c>
      <c r="L8">
        <v>0.25330000000000003</v>
      </c>
      <c r="M8">
        <v>5</v>
      </c>
    </row>
    <row r="9" spans="1:19">
      <c r="A9" s="3">
        <v>2025</v>
      </c>
      <c r="B9" s="3" t="s">
        <v>13</v>
      </c>
      <c r="C9" s="3" t="s">
        <v>9</v>
      </c>
      <c r="D9" s="3">
        <v>7</v>
      </c>
      <c r="E9" s="3">
        <v>72.83</v>
      </c>
      <c r="F9" s="3">
        <v>74.2</v>
      </c>
      <c r="G9" s="3">
        <f t="shared" si="0"/>
        <v>74.2</v>
      </c>
      <c r="H9" s="3">
        <v>62.59</v>
      </c>
      <c r="I9" s="3">
        <v>176.95</v>
      </c>
      <c r="J9" s="3">
        <v>90</v>
      </c>
      <c r="K9" s="3">
        <v>15.7</v>
      </c>
      <c r="L9">
        <v>0.38429999999999997</v>
      </c>
      <c r="M9">
        <v>2</v>
      </c>
    </row>
    <row r="10" spans="1:19">
      <c r="A10" s="3">
        <v>2025</v>
      </c>
      <c r="B10" s="3" t="s">
        <v>13</v>
      </c>
      <c r="C10" s="3" t="s">
        <v>9</v>
      </c>
      <c r="D10" s="3">
        <v>8</v>
      </c>
      <c r="E10" s="3">
        <v>68.53</v>
      </c>
      <c r="F10" s="3">
        <v>68.02</v>
      </c>
      <c r="G10" s="3">
        <f t="shared" si="0"/>
        <v>68.53</v>
      </c>
      <c r="H10" s="3">
        <v>68.459999999999994</v>
      </c>
      <c r="I10" s="3">
        <v>165.3</v>
      </c>
      <c r="J10" s="3">
        <v>70</v>
      </c>
      <c r="K10" s="3">
        <v>16.2</v>
      </c>
      <c r="L10">
        <v>0.19089999999999999</v>
      </c>
      <c r="M10">
        <v>9</v>
      </c>
    </row>
    <row r="11" spans="1:19">
      <c r="A11" s="3">
        <v>2025</v>
      </c>
      <c r="B11" s="3" t="s">
        <v>13</v>
      </c>
      <c r="C11" s="3" t="s">
        <v>9</v>
      </c>
      <c r="D11" s="3">
        <v>9</v>
      </c>
      <c r="E11" s="3">
        <v>71.03</v>
      </c>
      <c r="F11" s="3">
        <v>70.37</v>
      </c>
      <c r="G11" s="3">
        <f t="shared" si="0"/>
        <v>71.03</v>
      </c>
      <c r="H11" s="3">
        <v>57.66</v>
      </c>
      <c r="I11" s="3">
        <v>151.69999999999999</v>
      </c>
      <c r="J11" s="3">
        <v>80</v>
      </c>
      <c r="K11" s="3">
        <v>11.6</v>
      </c>
      <c r="L11">
        <v>0.1275</v>
      </c>
      <c r="M11">
        <v>2</v>
      </c>
    </row>
    <row r="12" spans="1:19">
      <c r="A12" s="3">
        <v>2025</v>
      </c>
      <c r="B12" s="3" t="s">
        <v>13</v>
      </c>
      <c r="C12" s="3" t="s">
        <v>9</v>
      </c>
      <c r="D12" s="3">
        <v>10</v>
      </c>
      <c r="E12" s="3">
        <v>82.76</v>
      </c>
      <c r="F12" s="3">
        <v>83.57</v>
      </c>
      <c r="G12" s="3">
        <f t="shared" si="0"/>
        <v>83.57</v>
      </c>
      <c r="H12" s="3">
        <v>77.150000000000006</v>
      </c>
      <c r="I12" s="3">
        <v>270.41000000000003</v>
      </c>
      <c r="J12" s="3">
        <v>100</v>
      </c>
      <c r="K12" s="3">
        <v>13.8</v>
      </c>
      <c r="L12">
        <v>0.29139999999999999</v>
      </c>
      <c r="M12">
        <v>6</v>
      </c>
    </row>
    <row r="13" spans="1:19">
      <c r="A13" s="3">
        <v>2025</v>
      </c>
      <c r="B13" s="3" t="s">
        <v>13</v>
      </c>
      <c r="C13" s="3" t="s">
        <v>9</v>
      </c>
      <c r="D13" s="3">
        <v>11</v>
      </c>
      <c r="E13" s="3">
        <v>74.77</v>
      </c>
      <c r="F13" s="3">
        <v>77.89</v>
      </c>
      <c r="G13" s="3">
        <f t="shared" si="0"/>
        <v>77.89</v>
      </c>
      <c r="H13" s="3">
        <v>71.239999999999995</v>
      </c>
      <c r="I13" s="3">
        <v>209.33</v>
      </c>
      <c r="J13" s="3">
        <v>85</v>
      </c>
      <c r="K13" s="3">
        <v>12</v>
      </c>
      <c r="L13">
        <v>0.20619999999999999</v>
      </c>
      <c r="M13">
        <v>6</v>
      </c>
    </row>
    <row r="14" spans="1:19">
      <c r="A14" s="3">
        <v>2025</v>
      </c>
      <c r="B14" s="3" t="s">
        <v>13</v>
      </c>
      <c r="C14" s="3" t="s">
        <v>9</v>
      </c>
      <c r="D14" s="3">
        <v>12</v>
      </c>
      <c r="E14" s="3">
        <v>79.23</v>
      </c>
      <c r="F14" s="3">
        <v>78.33</v>
      </c>
      <c r="G14" s="3">
        <f t="shared" si="0"/>
        <v>79.23</v>
      </c>
      <c r="H14" s="3">
        <v>75.989999999999995</v>
      </c>
      <c r="I14" s="3">
        <v>232.16</v>
      </c>
      <c r="J14" s="3">
        <v>95</v>
      </c>
      <c r="K14" s="3">
        <v>14.6</v>
      </c>
      <c r="L14">
        <v>0.30859999999999999</v>
      </c>
      <c r="M14">
        <v>8</v>
      </c>
    </row>
    <row r="15" spans="1:19">
      <c r="A15" s="3">
        <v>2025</v>
      </c>
      <c r="B15" s="3" t="s">
        <v>13</v>
      </c>
      <c r="C15" s="3" t="s">
        <v>9</v>
      </c>
      <c r="D15" s="3">
        <v>13</v>
      </c>
      <c r="E15" s="3">
        <v>77.44</v>
      </c>
      <c r="F15" s="3">
        <v>76.150000000000006</v>
      </c>
      <c r="G15" s="3">
        <f t="shared" si="0"/>
        <v>77.44</v>
      </c>
      <c r="H15" s="3">
        <v>74.37</v>
      </c>
      <c r="I15" s="3">
        <v>217.75</v>
      </c>
      <c r="J15" s="3">
        <v>85</v>
      </c>
      <c r="K15" s="3">
        <v>15</v>
      </c>
      <c r="L15">
        <v>0.16600000000000001</v>
      </c>
      <c r="M15">
        <v>8</v>
      </c>
    </row>
    <row r="16" spans="1:19">
      <c r="A16" s="3">
        <v>2025</v>
      </c>
      <c r="B16" s="3" t="s">
        <v>13</v>
      </c>
      <c r="C16" s="3" t="s">
        <v>9</v>
      </c>
      <c r="D16" s="3">
        <v>14</v>
      </c>
      <c r="E16" s="3">
        <v>76.400000000000006</v>
      </c>
      <c r="F16" s="3">
        <v>78.17</v>
      </c>
      <c r="G16" s="3">
        <f t="shared" si="0"/>
        <v>78.17</v>
      </c>
      <c r="H16" s="3">
        <v>69.09</v>
      </c>
      <c r="I16" s="3">
        <v>212.27</v>
      </c>
      <c r="J16" s="3">
        <v>85</v>
      </c>
      <c r="K16" s="3">
        <v>14.9</v>
      </c>
      <c r="L16">
        <v>0.2266</v>
      </c>
      <c r="M16">
        <v>7</v>
      </c>
    </row>
    <row r="17" spans="1:13">
      <c r="A17" s="3">
        <v>2025</v>
      </c>
      <c r="B17" s="3" t="s">
        <v>13</v>
      </c>
      <c r="C17" s="3" t="s">
        <v>9</v>
      </c>
      <c r="D17" s="3">
        <v>15</v>
      </c>
      <c r="E17" s="3">
        <v>77.290000000000006</v>
      </c>
      <c r="F17" s="3">
        <v>82.15</v>
      </c>
      <c r="G17" s="3">
        <f t="shared" si="0"/>
        <v>82.15</v>
      </c>
      <c r="H17" s="3">
        <v>67.14</v>
      </c>
      <c r="I17" s="3">
        <v>215.48</v>
      </c>
      <c r="J17" s="3">
        <v>90</v>
      </c>
      <c r="K17" s="3">
        <v>13</v>
      </c>
      <c r="L17">
        <v>0.17599999999999999</v>
      </c>
      <c r="M17">
        <v>7</v>
      </c>
    </row>
    <row r="18" spans="1:13">
      <c r="A18" s="3">
        <v>2025</v>
      </c>
      <c r="B18" s="3" t="s">
        <v>13</v>
      </c>
      <c r="C18" s="3" t="s">
        <v>8</v>
      </c>
      <c r="D18" s="3">
        <v>1</v>
      </c>
      <c r="E18" s="3">
        <v>74.989999999999995</v>
      </c>
      <c r="F18" s="3">
        <v>78.28</v>
      </c>
      <c r="G18" s="3">
        <f t="shared" si="0"/>
        <v>78.28</v>
      </c>
      <c r="H18" s="3">
        <v>65.83</v>
      </c>
      <c r="I18" s="3">
        <v>204.73</v>
      </c>
      <c r="J18" s="3">
        <v>95</v>
      </c>
      <c r="K18" s="3">
        <v>13.3</v>
      </c>
      <c r="L18">
        <v>0.45700000000000002</v>
      </c>
      <c r="M18">
        <v>4</v>
      </c>
    </row>
    <row r="19" spans="1:13">
      <c r="A19" s="3">
        <v>2025</v>
      </c>
      <c r="B19" s="3" t="s">
        <v>13</v>
      </c>
      <c r="C19" s="3" t="s">
        <v>8</v>
      </c>
      <c r="D19" s="3">
        <v>2</v>
      </c>
      <c r="E19" s="3">
        <v>80.33</v>
      </c>
      <c r="F19" s="3">
        <v>80.66</v>
      </c>
      <c r="G19" s="3">
        <f t="shared" si="0"/>
        <v>80.66</v>
      </c>
      <c r="H19" s="3">
        <v>71.260000000000005</v>
      </c>
      <c r="I19" s="3">
        <v>243.21</v>
      </c>
      <c r="J19" s="3">
        <v>90</v>
      </c>
      <c r="K19" s="3">
        <v>16.600000000000001</v>
      </c>
      <c r="L19">
        <v>0.1181</v>
      </c>
      <c r="M19">
        <v>8</v>
      </c>
    </row>
    <row r="20" spans="1:13">
      <c r="A20" s="3">
        <v>2025</v>
      </c>
      <c r="B20" s="3" t="s">
        <v>13</v>
      </c>
      <c r="C20" s="3" t="s">
        <v>8</v>
      </c>
      <c r="D20" s="3">
        <v>3</v>
      </c>
      <c r="E20" s="3">
        <v>71.739999999999995</v>
      </c>
      <c r="F20" s="3">
        <v>69.739999999999995</v>
      </c>
      <c r="G20" s="3">
        <f t="shared" si="0"/>
        <v>71.739999999999995</v>
      </c>
      <c r="H20" s="3">
        <v>59.94</v>
      </c>
      <c r="I20" s="3">
        <v>164.43</v>
      </c>
      <c r="J20" s="3">
        <v>100</v>
      </c>
      <c r="K20" s="3">
        <v>13.1</v>
      </c>
      <c r="L20">
        <v>0.2288</v>
      </c>
      <c r="M20">
        <v>3</v>
      </c>
    </row>
    <row r="21" spans="1:13">
      <c r="A21" s="3">
        <v>2025</v>
      </c>
      <c r="B21" s="3" t="s">
        <v>13</v>
      </c>
      <c r="C21" s="3" t="s">
        <v>8</v>
      </c>
      <c r="D21" s="3">
        <v>4</v>
      </c>
      <c r="E21" s="3">
        <v>73.900000000000006</v>
      </c>
      <c r="F21" s="3">
        <v>72.86</v>
      </c>
      <c r="G21" s="3">
        <f t="shared" si="0"/>
        <v>73.900000000000006</v>
      </c>
      <c r="H21" s="3">
        <v>63.36</v>
      </c>
      <c r="I21" s="3">
        <v>181.83</v>
      </c>
      <c r="J21" s="3">
        <v>95</v>
      </c>
      <c r="K21" s="3">
        <v>10.6</v>
      </c>
      <c r="L21">
        <v>0.8407</v>
      </c>
      <c r="M21">
        <v>2</v>
      </c>
    </row>
    <row r="22" spans="1:13">
      <c r="A22" s="3">
        <v>2025</v>
      </c>
      <c r="B22" s="3" t="s">
        <v>13</v>
      </c>
      <c r="C22" s="3" t="s">
        <v>8</v>
      </c>
      <c r="D22" s="3">
        <v>5</v>
      </c>
      <c r="E22" s="3">
        <v>80.48</v>
      </c>
      <c r="F22" s="3">
        <v>80.47</v>
      </c>
      <c r="G22" s="3">
        <f t="shared" si="0"/>
        <v>80.48</v>
      </c>
      <c r="H22" s="3">
        <v>70.760000000000005</v>
      </c>
      <c r="I22" s="3">
        <v>247.69</v>
      </c>
      <c r="J22" s="3">
        <v>100</v>
      </c>
      <c r="K22" s="3">
        <v>12.3</v>
      </c>
      <c r="L22">
        <v>0.31169999999999998</v>
      </c>
      <c r="M22">
        <v>5</v>
      </c>
    </row>
    <row r="23" spans="1:13">
      <c r="A23" s="3">
        <v>2025</v>
      </c>
      <c r="B23" s="3" t="s">
        <v>13</v>
      </c>
      <c r="C23" s="3" t="s">
        <v>8</v>
      </c>
      <c r="D23" s="3">
        <v>6</v>
      </c>
      <c r="E23" s="3">
        <v>76.180000000000007</v>
      </c>
      <c r="F23" s="3">
        <v>73.87</v>
      </c>
      <c r="G23" s="3">
        <f t="shared" si="0"/>
        <v>76.180000000000007</v>
      </c>
      <c r="H23" s="3">
        <v>62.76</v>
      </c>
      <c r="I23" s="3">
        <v>193.45</v>
      </c>
      <c r="J23" s="3">
        <v>95</v>
      </c>
      <c r="K23" s="3">
        <v>14.3</v>
      </c>
      <c r="L23">
        <v>0.26779999999999998</v>
      </c>
      <c r="M23">
        <v>5</v>
      </c>
    </row>
    <row r="24" spans="1:13">
      <c r="A24" s="3">
        <v>2025</v>
      </c>
      <c r="B24" s="3" t="s">
        <v>13</v>
      </c>
      <c r="C24" s="3" t="s">
        <v>8</v>
      </c>
      <c r="D24" s="3">
        <v>7</v>
      </c>
      <c r="E24" s="3">
        <v>74.709999999999994</v>
      </c>
      <c r="F24" s="3">
        <v>68.58</v>
      </c>
      <c r="G24" s="3">
        <f t="shared" si="0"/>
        <v>74.709999999999994</v>
      </c>
      <c r="H24" s="3">
        <v>62.32</v>
      </c>
      <c r="I24" s="3">
        <v>163.82</v>
      </c>
      <c r="J24" s="3">
        <v>85</v>
      </c>
      <c r="K24" s="3">
        <v>13.2</v>
      </c>
      <c r="L24">
        <v>0.54410000000000003</v>
      </c>
      <c r="M24">
        <v>4</v>
      </c>
    </row>
    <row r="25" spans="1:13">
      <c r="A25" s="3">
        <v>2025</v>
      </c>
      <c r="B25" s="3" t="s">
        <v>13</v>
      </c>
      <c r="C25" s="3" t="s">
        <v>8</v>
      </c>
      <c r="D25" s="3">
        <v>8</v>
      </c>
      <c r="E25" s="3">
        <v>69.459999999999994</v>
      </c>
      <c r="F25" s="3">
        <v>67.7</v>
      </c>
      <c r="G25" s="3">
        <f t="shared" si="0"/>
        <v>69.459999999999994</v>
      </c>
      <c r="H25" s="3">
        <v>62.67</v>
      </c>
      <c r="I25" s="3">
        <v>144.47999999999999</v>
      </c>
      <c r="J25" s="3">
        <v>80</v>
      </c>
      <c r="K25" s="3">
        <v>12.9</v>
      </c>
      <c r="L25">
        <v>0.1401</v>
      </c>
      <c r="M25">
        <v>5</v>
      </c>
    </row>
    <row r="26" spans="1:13">
      <c r="A26" s="3">
        <v>2025</v>
      </c>
      <c r="B26" s="3" t="s">
        <v>13</v>
      </c>
      <c r="C26" s="3" t="s">
        <v>8</v>
      </c>
      <c r="D26" s="3">
        <v>9</v>
      </c>
      <c r="E26" s="3">
        <v>66.680000000000007</v>
      </c>
      <c r="F26" s="3">
        <v>64.2</v>
      </c>
      <c r="G26" s="3">
        <f t="shared" si="0"/>
        <v>66.680000000000007</v>
      </c>
      <c r="H26" s="3">
        <v>59.18</v>
      </c>
      <c r="I26" s="3">
        <v>132.26</v>
      </c>
      <c r="J26" s="3">
        <v>80</v>
      </c>
      <c r="K26" s="3">
        <v>13.5</v>
      </c>
      <c r="L26">
        <v>0.59109999999999996</v>
      </c>
      <c r="M26">
        <v>6</v>
      </c>
    </row>
    <row r="27" spans="1:13">
      <c r="A27" s="3">
        <v>2025</v>
      </c>
      <c r="B27" s="3" t="s">
        <v>13</v>
      </c>
      <c r="C27" s="3" t="s">
        <v>8</v>
      </c>
      <c r="D27" s="3">
        <v>10</v>
      </c>
      <c r="E27" s="3">
        <v>75.67</v>
      </c>
      <c r="F27" s="3">
        <v>76.489999999999995</v>
      </c>
      <c r="G27" s="3">
        <f t="shared" si="0"/>
        <v>76.489999999999995</v>
      </c>
      <c r="H27" s="3">
        <v>65.010000000000005</v>
      </c>
      <c r="I27" s="3">
        <v>205.72</v>
      </c>
      <c r="J27" s="3">
        <v>90</v>
      </c>
      <c r="K27" s="3">
        <v>13.1</v>
      </c>
      <c r="L27">
        <v>0.23350000000000001</v>
      </c>
      <c r="M27">
        <v>4</v>
      </c>
    </row>
    <row r="28" spans="1:13">
      <c r="A28" s="3">
        <v>2025</v>
      </c>
      <c r="B28" s="3" t="s">
        <v>13</v>
      </c>
      <c r="C28" s="3" t="s">
        <v>8</v>
      </c>
      <c r="D28" s="3">
        <v>11</v>
      </c>
      <c r="E28" s="3">
        <v>77.790000000000006</v>
      </c>
      <c r="F28" s="3">
        <v>78.27</v>
      </c>
      <c r="G28" s="3">
        <f t="shared" si="0"/>
        <v>78.27</v>
      </c>
      <c r="H28" s="3">
        <v>65.53</v>
      </c>
      <c r="I28" s="3">
        <v>213.48</v>
      </c>
      <c r="J28" s="3">
        <v>95</v>
      </c>
      <c r="K28" s="3">
        <v>13.6</v>
      </c>
      <c r="L28">
        <v>0.17960000000000001</v>
      </c>
      <c r="M28">
        <v>6</v>
      </c>
    </row>
    <row r="29" spans="1:13">
      <c r="A29" s="3">
        <v>2025</v>
      </c>
      <c r="B29" s="3" t="s">
        <v>13</v>
      </c>
      <c r="C29" s="3" t="s">
        <v>8</v>
      </c>
      <c r="D29" s="3">
        <v>12</v>
      </c>
      <c r="E29" s="3">
        <v>77.03</v>
      </c>
      <c r="F29" s="3">
        <v>73.69</v>
      </c>
      <c r="G29" s="3">
        <f t="shared" si="0"/>
        <v>77.03</v>
      </c>
      <c r="H29" s="3">
        <v>67.010000000000005</v>
      </c>
      <c r="I29" s="3">
        <v>193.67</v>
      </c>
      <c r="J29" s="3">
        <v>95</v>
      </c>
      <c r="K29" s="3">
        <v>13</v>
      </c>
      <c r="L29">
        <v>0.31140000000000001</v>
      </c>
      <c r="M29">
        <v>6</v>
      </c>
    </row>
    <row r="30" spans="1:13">
      <c r="A30" s="3">
        <v>2025</v>
      </c>
      <c r="B30" s="3" t="s">
        <v>13</v>
      </c>
      <c r="C30" s="3" t="s">
        <v>8</v>
      </c>
      <c r="D30" s="3">
        <v>13</v>
      </c>
      <c r="E30" s="3">
        <v>78.5</v>
      </c>
      <c r="F30" s="3">
        <v>76.52</v>
      </c>
      <c r="G30" s="3">
        <f t="shared" si="0"/>
        <v>78.5</v>
      </c>
      <c r="H30" s="3">
        <v>73.55</v>
      </c>
      <c r="I30" s="3">
        <v>227.09</v>
      </c>
      <c r="J30" s="3">
        <v>100</v>
      </c>
      <c r="K30" s="3">
        <v>11.8</v>
      </c>
      <c r="L30">
        <v>0.23200000000000001</v>
      </c>
      <c r="M30">
        <v>6</v>
      </c>
    </row>
    <row r="31" spans="1:13">
      <c r="A31" s="3">
        <v>2025</v>
      </c>
      <c r="B31" s="3" t="s">
        <v>13</v>
      </c>
      <c r="C31" s="3" t="s">
        <v>8</v>
      </c>
      <c r="D31" s="3">
        <v>14</v>
      </c>
      <c r="E31" s="3">
        <v>71.02</v>
      </c>
      <c r="F31" s="3">
        <v>71.17</v>
      </c>
      <c r="G31" s="3">
        <f t="shared" si="0"/>
        <v>71.17</v>
      </c>
      <c r="H31" s="3">
        <v>62.24</v>
      </c>
      <c r="I31" s="3">
        <v>165.13</v>
      </c>
      <c r="J31" s="3">
        <v>80</v>
      </c>
      <c r="K31" s="3">
        <v>13.3</v>
      </c>
      <c r="L31">
        <v>0.43790000000000001</v>
      </c>
      <c r="M31">
        <v>3</v>
      </c>
    </row>
    <row r="32" spans="1:13">
      <c r="A32" s="3">
        <v>2025</v>
      </c>
      <c r="B32" s="3" t="s">
        <v>13</v>
      </c>
      <c r="C32" s="3" t="s">
        <v>8</v>
      </c>
      <c r="D32" s="3">
        <v>15</v>
      </c>
      <c r="E32" s="3">
        <v>68.709999999999994</v>
      </c>
      <c r="F32" s="3">
        <v>68.77</v>
      </c>
      <c r="G32" s="3">
        <f t="shared" si="0"/>
        <v>68.77</v>
      </c>
      <c r="H32" s="3">
        <v>64.510000000000005</v>
      </c>
      <c r="I32" s="3">
        <v>161.41</v>
      </c>
      <c r="J32" s="3">
        <v>95</v>
      </c>
      <c r="K32" s="3">
        <v>11.4</v>
      </c>
      <c r="L32">
        <v>0.27239999999999998</v>
      </c>
      <c r="M32">
        <v>5</v>
      </c>
    </row>
    <row r="33" spans="1:13">
      <c r="A33" s="3">
        <v>2025</v>
      </c>
      <c r="B33" s="3" t="s">
        <v>13</v>
      </c>
      <c r="C33" s="3" t="s">
        <v>10</v>
      </c>
      <c r="D33" s="3">
        <v>1</v>
      </c>
      <c r="E33" s="3">
        <v>85.18</v>
      </c>
      <c r="F33" s="3">
        <v>83.39</v>
      </c>
      <c r="G33" s="3">
        <f t="shared" si="0"/>
        <v>85.18</v>
      </c>
      <c r="H33" s="3">
        <v>73.260000000000005</v>
      </c>
      <c r="I33" s="3">
        <v>268.11</v>
      </c>
      <c r="J33" s="3">
        <v>85</v>
      </c>
      <c r="K33" s="3">
        <v>12.3</v>
      </c>
      <c r="L33">
        <v>0.60680000000000001</v>
      </c>
      <c r="M33">
        <v>7</v>
      </c>
    </row>
    <row r="34" spans="1:13">
      <c r="A34" s="3">
        <v>2025</v>
      </c>
      <c r="B34" s="3" t="s">
        <v>13</v>
      </c>
      <c r="C34" s="3" t="s">
        <v>10</v>
      </c>
      <c r="D34" s="3">
        <v>2</v>
      </c>
      <c r="E34" s="3">
        <v>77.569999999999993</v>
      </c>
      <c r="F34" s="3">
        <v>80.81</v>
      </c>
      <c r="G34" s="3">
        <f t="shared" si="0"/>
        <v>80.81</v>
      </c>
      <c r="H34" s="3">
        <v>68.05</v>
      </c>
      <c r="I34" s="3">
        <v>231.48</v>
      </c>
      <c r="J34" s="3">
        <v>90</v>
      </c>
      <c r="K34" s="3">
        <v>13.3</v>
      </c>
      <c r="L34">
        <v>0.28179999999999999</v>
      </c>
      <c r="M34">
        <v>6</v>
      </c>
    </row>
    <row r="35" spans="1:13">
      <c r="A35" s="3">
        <v>2025</v>
      </c>
      <c r="B35" s="3" t="s">
        <v>13</v>
      </c>
      <c r="C35" s="3" t="s">
        <v>10</v>
      </c>
      <c r="D35" s="3">
        <v>3</v>
      </c>
      <c r="E35" s="3">
        <v>77.040000000000006</v>
      </c>
      <c r="F35" s="3">
        <v>81.83</v>
      </c>
      <c r="G35" s="3">
        <f t="shared" si="0"/>
        <v>81.83</v>
      </c>
      <c r="H35" s="3">
        <v>60.87</v>
      </c>
      <c r="I35" s="3">
        <v>213.68</v>
      </c>
      <c r="J35" s="3">
        <v>80</v>
      </c>
      <c r="K35" s="3">
        <v>14.5</v>
      </c>
      <c r="L35">
        <v>0.2636</v>
      </c>
      <c r="M35">
        <v>6</v>
      </c>
    </row>
    <row r="36" spans="1:13">
      <c r="A36" s="3">
        <v>2025</v>
      </c>
      <c r="B36" s="3" t="s">
        <v>13</v>
      </c>
      <c r="C36" s="3" t="s">
        <v>10</v>
      </c>
      <c r="D36" s="3">
        <v>4</v>
      </c>
      <c r="E36" s="3">
        <v>73.33</v>
      </c>
      <c r="F36" s="3">
        <v>73.400000000000006</v>
      </c>
      <c r="G36" s="3">
        <f t="shared" si="0"/>
        <v>73.400000000000006</v>
      </c>
      <c r="H36" s="3">
        <v>60.43</v>
      </c>
      <c r="I36" s="3">
        <v>180.58</v>
      </c>
      <c r="J36" s="3">
        <v>75</v>
      </c>
      <c r="K36" s="3">
        <v>13.4</v>
      </c>
      <c r="L36">
        <v>0.3957</v>
      </c>
      <c r="M36">
        <v>8</v>
      </c>
    </row>
    <row r="37" spans="1:13">
      <c r="A37" s="3">
        <v>2025</v>
      </c>
      <c r="B37" s="3" t="s">
        <v>13</v>
      </c>
      <c r="C37" s="3" t="s">
        <v>10</v>
      </c>
      <c r="D37" s="3">
        <v>5</v>
      </c>
      <c r="E37" s="3">
        <v>66.319999999999993</v>
      </c>
      <c r="F37" s="3">
        <v>66.62</v>
      </c>
      <c r="G37" s="3">
        <f t="shared" si="0"/>
        <v>66.62</v>
      </c>
      <c r="H37" s="3">
        <v>57.6</v>
      </c>
      <c r="I37" s="3">
        <v>139.61000000000001</v>
      </c>
      <c r="J37" s="3">
        <v>85</v>
      </c>
      <c r="K37" s="3">
        <v>14.7</v>
      </c>
      <c r="L37">
        <v>0.70489999999999997</v>
      </c>
      <c r="M37">
        <v>2</v>
      </c>
    </row>
    <row r="38" spans="1:13">
      <c r="A38" s="3">
        <v>2025</v>
      </c>
      <c r="B38" s="3" t="s">
        <v>13</v>
      </c>
      <c r="C38" s="3" t="s">
        <v>10</v>
      </c>
      <c r="D38" s="3">
        <v>6</v>
      </c>
      <c r="E38" s="3">
        <v>80.290000000000006</v>
      </c>
      <c r="F38" s="3">
        <v>79.22</v>
      </c>
      <c r="G38" s="3">
        <f t="shared" si="0"/>
        <v>80.290000000000006</v>
      </c>
      <c r="H38" s="3">
        <v>70.42</v>
      </c>
      <c r="I38" s="3">
        <v>236.68</v>
      </c>
      <c r="J38" s="3">
        <v>90</v>
      </c>
      <c r="K38" s="3">
        <v>13.1</v>
      </c>
      <c r="L38">
        <v>0.49590000000000001</v>
      </c>
      <c r="M38">
        <v>5</v>
      </c>
    </row>
    <row r="39" spans="1:13">
      <c r="A39" s="3">
        <v>2025</v>
      </c>
      <c r="B39" s="3" t="s">
        <v>13</v>
      </c>
      <c r="C39" s="3" t="s">
        <v>10</v>
      </c>
      <c r="D39" s="3">
        <v>7</v>
      </c>
      <c r="E39" s="3">
        <v>79.44</v>
      </c>
      <c r="F39" s="3">
        <v>77.39</v>
      </c>
      <c r="G39" s="3">
        <f t="shared" si="0"/>
        <v>79.44</v>
      </c>
      <c r="H39" s="3">
        <v>69.53</v>
      </c>
      <c r="I39" s="3">
        <v>225.68</v>
      </c>
      <c r="J39" s="3">
        <v>85</v>
      </c>
      <c r="K39" s="3">
        <v>14.7</v>
      </c>
      <c r="L39">
        <v>0.19950000000000001</v>
      </c>
      <c r="M39">
        <v>8</v>
      </c>
    </row>
    <row r="40" spans="1:13">
      <c r="A40" s="3">
        <v>2025</v>
      </c>
      <c r="B40" s="3" t="s">
        <v>13</v>
      </c>
      <c r="C40" s="3" t="s">
        <v>10</v>
      </c>
      <c r="D40" s="3">
        <v>8</v>
      </c>
      <c r="E40" s="3">
        <v>75.3</v>
      </c>
      <c r="F40" s="3">
        <v>72.44</v>
      </c>
      <c r="G40" s="3">
        <f t="shared" si="0"/>
        <v>75.3</v>
      </c>
      <c r="H40" s="3">
        <v>67.27</v>
      </c>
      <c r="I40" s="3">
        <v>187.27</v>
      </c>
      <c r="J40" s="3">
        <v>90</v>
      </c>
      <c r="K40" s="3">
        <v>13.9</v>
      </c>
      <c r="L40">
        <v>0.46600000000000003</v>
      </c>
      <c r="M40">
        <v>7</v>
      </c>
    </row>
    <row r="41" spans="1:13">
      <c r="A41" s="3">
        <v>2025</v>
      </c>
      <c r="B41" s="3" t="s">
        <v>13</v>
      </c>
      <c r="C41" s="3" t="s">
        <v>10</v>
      </c>
      <c r="D41" s="3">
        <v>9</v>
      </c>
      <c r="E41" s="3">
        <v>75.489999999999995</v>
      </c>
      <c r="F41" s="3">
        <v>73.8</v>
      </c>
      <c r="G41" s="3">
        <f t="shared" si="0"/>
        <v>75.489999999999995</v>
      </c>
      <c r="H41" s="3">
        <v>66</v>
      </c>
      <c r="I41" s="3">
        <v>201.12</v>
      </c>
      <c r="J41" s="3">
        <v>75</v>
      </c>
      <c r="K41" s="3">
        <v>15.6</v>
      </c>
      <c r="L41">
        <v>0.19950000000000001</v>
      </c>
      <c r="M41">
        <v>7</v>
      </c>
    </row>
    <row r="42" spans="1:13">
      <c r="A42" s="3">
        <v>2025</v>
      </c>
      <c r="B42" s="3" t="s">
        <v>13</v>
      </c>
      <c r="C42" s="3" t="s">
        <v>10</v>
      </c>
      <c r="D42" s="3">
        <v>10</v>
      </c>
      <c r="E42" s="3">
        <v>71.97</v>
      </c>
      <c r="F42" s="3">
        <v>75.88</v>
      </c>
      <c r="G42" s="3">
        <f t="shared" si="0"/>
        <v>75.88</v>
      </c>
      <c r="H42" s="3">
        <v>69.739999999999995</v>
      </c>
      <c r="I42" s="3">
        <v>194.39</v>
      </c>
      <c r="J42" s="3">
        <v>100</v>
      </c>
      <c r="K42" s="3">
        <v>14.1</v>
      </c>
      <c r="L42">
        <v>0.21840000000000001</v>
      </c>
      <c r="M42">
        <v>5</v>
      </c>
    </row>
    <row r="43" spans="1:13">
      <c r="A43" s="3">
        <v>2025</v>
      </c>
      <c r="B43" s="3" t="s">
        <v>13</v>
      </c>
      <c r="C43" s="3" t="s">
        <v>10</v>
      </c>
      <c r="D43" s="3">
        <v>11</v>
      </c>
      <c r="E43" s="3">
        <v>79.069999999999993</v>
      </c>
      <c r="F43" s="3">
        <v>75.11</v>
      </c>
      <c r="G43" s="3">
        <f t="shared" si="0"/>
        <v>79.069999999999993</v>
      </c>
      <c r="H43" s="3">
        <v>74.31</v>
      </c>
      <c r="I43" s="3">
        <v>242.82</v>
      </c>
      <c r="J43" s="3">
        <v>95</v>
      </c>
      <c r="K43" s="3">
        <v>12.8</v>
      </c>
      <c r="L43">
        <v>0.42420000000000002</v>
      </c>
      <c r="M43">
        <v>4</v>
      </c>
    </row>
    <row r="44" spans="1:13">
      <c r="A44" s="3">
        <v>2025</v>
      </c>
      <c r="B44" s="3" t="s">
        <v>13</v>
      </c>
      <c r="C44" s="3" t="s">
        <v>10</v>
      </c>
      <c r="D44" s="3">
        <v>12</v>
      </c>
      <c r="E44" s="3">
        <v>79.040000000000006</v>
      </c>
      <c r="F44" s="3">
        <v>80.44</v>
      </c>
      <c r="G44" s="3">
        <f t="shared" si="0"/>
        <v>80.44</v>
      </c>
      <c r="H44" s="3">
        <v>71.64</v>
      </c>
      <c r="I44" s="3">
        <v>232.43</v>
      </c>
      <c r="J44" s="3">
        <v>95</v>
      </c>
      <c r="K44" s="3">
        <v>15.1</v>
      </c>
      <c r="L44">
        <v>0.27139999999999997</v>
      </c>
      <c r="M44">
        <v>8</v>
      </c>
    </row>
    <row r="45" spans="1:13">
      <c r="A45" s="3">
        <v>2025</v>
      </c>
      <c r="B45" s="3" t="s">
        <v>13</v>
      </c>
      <c r="C45" s="3" t="s">
        <v>10</v>
      </c>
      <c r="D45" s="3">
        <v>13</v>
      </c>
      <c r="E45" s="3">
        <v>79.459999999999994</v>
      </c>
      <c r="F45" s="3">
        <v>81.680000000000007</v>
      </c>
      <c r="G45" s="3">
        <f t="shared" si="0"/>
        <v>81.680000000000007</v>
      </c>
      <c r="H45" s="3">
        <v>69.7</v>
      </c>
      <c r="I45" s="3">
        <v>245.77</v>
      </c>
      <c r="J45" s="3">
        <v>95</v>
      </c>
      <c r="K45" s="3">
        <v>12.3</v>
      </c>
      <c r="L45">
        <v>0.42309999999999998</v>
      </c>
      <c r="M45">
        <v>9</v>
      </c>
    </row>
    <row r="46" spans="1:13">
      <c r="A46" s="3">
        <v>2025</v>
      </c>
      <c r="B46" s="3" t="s">
        <v>13</v>
      </c>
      <c r="C46" s="3" t="s">
        <v>10</v>
      </c>
      <c r="D46" s="3">
        <v>14</v>
      </c>
      <c r="E46" s="3">
        <v>79.62</v>
      </c>
      <c r="F46" s="3">
        <v>78.400000000000006</v>
      </c>
      <c r="G46" s="3">
        <f t="shared" si="0"/>
        <v>79.62</v>
      </c>
      <c r="H46" s="3">
        <v>71.099999999999994</v>
      </c>
      <c r="I46" s="3">
        <v>229.71</v>
      </c>
      <c r="J46" s="3">
        <v>90</v>
      </c>
      <c r="K46" s="3">
        <v>14</v>
      </c>
      <c r="L46">
        <v>0.31069999999999998</v>
      </c>
      <c r="M46">
        <v>6</v>
      </c>
    </row>
    <row r="47" spans="1:13">
      <c r="A47" s="3">
        <v>2025</v>
      </c>
      <c r="B47" s="3" t="s">
        <v>13</v>
      </c>
      <c r="C47" s="3" t="s">
        <v>10</v>
      </c>
      <c r="D47" s="3">
        <v>15</v>
      </c>
      <c r="E47" s="3">
        <v>75.37</v>
      </c>
      <c r="F47" s="3">
        <v>79.86</v>
      </c>
      <c r="G47" s="3">
        <f t="shared" si="0"/>
        <v>79.86</v>
      </c>
      <c r="H47" s="3">
        <v>73.44</v>
      </c>
      <c r="I47" s="3">
        <v>221.43</v>
      </c>
      <c r="J47" s="3">
        <v>95</v>
      </c>
      <c r="K47" s="3">
        <v>13</v>
      </c>
      <c r="L47">
        <v>0.1371</v>
      </c>
      <c r="M47">
        <v>5</v>
      </c>
    </row>
    <row r="48" spans="1:13">
      <c r="A48" s="3">
        <v>2025</v>
      </c>
      <c r="B48" s="3" t="s">
        <v>13</v>
      </c>
      <c r="C48" s="3" t="s">
        <v>7</v>
      </c>
      <c r="D48" s="3">
        <v>1</v>
      </c>
      <c r="E48" s="3">
        <v>74.87</v>
      </c>
      <c r="F48" s="3">
        <v>73.59</v>
      </c>
      <c r="G48" s="3">
        <f t="shared" si="0"/>
        <v>74.87</v>
      </c>
      <c r="H48" s="3">
        <v>63.61</v>
      </c>
      <c r="I48" s="3">
        <v>184.94</v>
      </c>
      <c r="J48" s="3">
        <v>80</v>
      </c>
      <c r="K48" s="3">
        <v>15</v>
      </c>
      <c r="L48">
        <v>0.33279999999999998</v>
      </c>
      <c r="M48">
        <v>6</v>
      </c>
    </row>
    <row r="49" spans="1:13">
      <c r="A49" s="3">
        <v>2025</v>
      </c>
      <c r="B49" s="3" t="s">
        <v>13</v>
      </c>
      <c r="C49" s="3" t="s">
        <v>7</v>
      </c>
      <c r="D49" s="3">
        <v>2</v>
      </c>
      <c r="E49" s="3">
        <v>75.61</v>
      </c>
      <c r="F49" s="3">
        <v>77.290000000000006</v>
      </c>
      <c r="G49" s="3">
        <f t="shared" si="0"/>
        <v>77.290000000000006</v>
      </c>
      <c r="H49" s="3">
        <v>68.900000000000006</v>
      </c>
      <c r="I49" s="3">
        <v>207.85</v>
      </c>
      <c r="J49" s="3">
        <v>95</v>
      </c>
      <c r="K49" s="3">
        <v>12.1</v>
      </c>
      <c r="L49">
        <v>0.28989999999999999</v>
      </c>
      <c r="M49">
        <v>6</v>
      </c>
    </row>
    <row r="50" spans="1:13">
      <c r="A50" s="3">
        <v>2025</v>
      </c>
      <c r="B50" s="3" t="s">
        <v>13</v>
      </c>
      <c r="C50" s="3" t="s">
        <v>7</v>
      </c>
      <c r="D50" s="3">
        <v>3</v>
      </c>
      <c r="E50" s="3">
        <v>74.02</v>
      </c>
      <c r="F50" s="3">
        <v>73.48</v>
      </c>
      <c r="G50" s="3">
        <f t="shared" si="0"/>
        <v>74.02</v>
      </c>
      <c r="H50" s="3">
        <v>63.63</v>
      </c>
      <c r="I50" s="3">
        <v>179.06</v>
      </c>
      <c r="J50" s="3">
        <v>95</v>
      </c>
      <c r="K50" s="3">
        <v>14.2</v>
      </c>
      <c r="L50">
        <v>0.2447</v>
      </c>
      <c r="M50">
        <v>6</v>
      </c>
    </row>
    <row r="51" spans="1:13">
      <c r="A51" s="3">
        <v>2025</v>
      </c>
      <c r="B51" s="3" t="s">
        <v>13</v>
      </c>
      <c r="C51" s="3" t="s">
        <v>7</v>
      </c>
      <c r="D51" s="3">
        <v>4</v>
      </c>
      <c r="E51" s="3">
        <v>74.72</v>
      </c>
      <c r="F51" s="3">
        <v>75.03</v>
      </c>
      <c r="G51" s="3">
        <f t="shared" si="0"/>
        <v>75.03</v>
      </c>
      <c r="H51" s="3">
        <v>71.19</v>
      </c>
      <c r="I51" s="3">
        <v>210.19</v>
      </c>
      <c r="J51" s="3">
        <v>100</v>
      </c>
      <c r="K51" s="3">
        <v>14.5</v>
      </c>
      <c r="L51">
        <v>0.21729999999999999</v>
      </c>
      <c r="M51">
        <v>7</v>
      </c>
    </row>
    <row r="52" spans="1:13">
      <c r="A52" s="3">
        <v>2025</v>
      </c>
      <c r="B52" s="3" t="s">
        <v>13</v>
      </c>
      <c r="C52" s="3" t="s">
        <v>7</v>
      </c>
      <c r="D52" s="3">
        <v>5</v>
      </c>
      <c r="E52" s="3">
        <v>76</v>
      </c>
      <c r="F52" s="3">
        <v>75.55</v>
      </c>
      <c r="G52" s="3">
        <f t="shared" si="0"/>
        <v>76</v>
      </c>
      <c r="H52" s="3">
        <v>62.98</v>
      </c>
      <c r="I52" s="3">
        <v>194.99</v>
      </c>
      <c r="J52" s="3">
        <v>95</v>
      </c>
      <c r="K52" s="3">
        <v>13.3</v>
      </c>
      <c r="L52">
        <v>0.26950000000000002</v>
      </c>
      <c r="M52">
        <v>6</v>
      </c>
    </row>
    <row r="53" spans="1:13">
      <c r="A53" s="3">
        <v>2025</v>
      </c>
      <c r="B53" s="3" t="s">
        <v>13</v>
      </c>
      <c r="C53" s="3" t="s">
        <v>7</v>
      </c>
      <c r="D53" s="3">
        <v>6</v>
      </c>
      <c r="E53" s="3">
        <v>75.44</v>
      </c>
      <c r="F53" s="3">
        <v>72.709999999999994</v>
      </c>
      <c r="G53" s="3">
        <f t="shared" si="0"/>
        <v>75.44</v>
      </c>
      <c r="H53" s="3">
        <v>68.760000000000005</v>
      </c>
      <c r="I53" s="3">
        <v>192.24</v>
      </c>
      <c r="J53" s="3">
        <v>100</v>
      </c>
      <c r="K53" s="3">
        <v>14.2</v>
      </c>
      <c r="L53">
        <v>0.17019999999999999</v>
      </c>
      <c r="M53">
        <v>8</v>
      </c>
    </row>
    <row r="54" spans="1:13">
      <c r="A54" s="3">
        <v>2025</v>
      </c>
      <c r="B54" s="3" t="s">
        <v>13</v>
      </c>
      <c r="C54" s="3" t="s">
        <v>7</v>
      </c>
      <c r="D54" s="3">
        <v>7</v>
      </c>
      <c r="E54" s="3">
        <v>73.650000000000006</v>
      </c>
      <c r="F54" s="3">
        <v>77.41</v>
      </c>
      <c r="G54" s="3">
        <f t="shared" si="0"/>
        <v>77.41</v>
      </c>
      <c r="H54" s="3">
        <v>72.760000000000005</v>
      </c>
      <c r="I54" s="3">
        <v>213.95</v>
      </c>
      <c r="J54" s="3">
        <v>95</v>
      </c>
      <c r="K54" s="3">
        <v>13.2</v>
      </c>
      <c r="L54">
        <v>0.27200000000000002</v>
      </c>
      <c r="M54">
        <v>7</v>
      </c>
    </row>
    <row r="55" spans="1:13">
      <c r="A55" s="3">
        <v>2025</v>
      </c>
      <c r="B55" s="3" t="s">
        <v>13</v>
      </c>
      <c r="C55" s="3" t="s">
        <v>7</v>
      </c>
      <c r="D55" s="3">
        <v>8</v>
      </c>
      <c r="E55" s="3">
        <v>73.31</v>
      </c>
      <c r="F55" s="3">
        <v>72.37</v>
      </c>
      <c r="G55" s="3">
        <f t="shared" si="0"/>
        <v>73.31</v>
      </c>
      <c r="H55" s="3">
        <v>62.41</v>
      </c>
      <c r="I55" s="3">
        <v>180.69</v>
      </c>
      <c r="J55" s="3">
        <v>90</v>
      </c>
      <c r="K55" s="3">
        <v>14.4</v>
      </c>
      <c r="L55">
        <v>0.35759999999999997</v>
      </c>
      <c r="M55">
        <v>6</v>
      </c>
    </row>
    <row r="56" spans="1:13">
      <c r="A56" s="3">
        <v>2025</v>
      </c>
      <c r="B56" s="3" t="s">
        <v>13</v>
      </c>
      <c r="C56" s="3" t="s">
        <v>7</v>
      </c>
      <c r="D56" s="3">
        <v>9</v>
      </c>
      <c r="E56" s="3">
        <v>79.599999999999994</v>
      </c>
      <c r="F56" s="3">
        <v>81.22</v>
      </c>
      <c r="G56" s="3">
        <f t="shared" si="0"/>
        <v>81.22</v>
      </c>
      <c r="H56" s="3">
        <v>68.459999999999994</v>
      </c>
      <c r="I56" s="3">
        <v>233.2</v>
      </c>
      <c r="J56" s="3">
        <v>100</v>
      </c>
      <c r="K56" s="3">
        <v>13.4</v>
      </c>
      <c r="L56">
        <v>0.1726</v>
      </c>
      <c r="M56">
        <v>9</v>
      </c>
    </row>
    <row r="57" spans="1:13">
      <c r="A57" s="3">
        <v>2025</v>
      </c>
      <c r="B57" s="3" t="s">
        <v>13</v>
      </c>
      <c r="C57" s="3" t="s">
        <v>7</v>
      </c>
      <c r="D57" s="3">
        <v>10</v>
      </c>
      <c r="E57" s="3">
        <v>69.47</v>
      </c>
      <c r="F57" s="3">
        <v>67.59</v>
      </c>
      <c r="G57" s="3">
        <f t="shared" si="0"/>
        <v>69.47</v>
      </c>
      <c r="H57" s="3">
        <v>67.150000000000006</v>
      </c>
      <c r="I57" s="3">
        <v>164.78</v>
      </c>
      <c r="J57" s="3">
        <v>85</v>
      </c>
      <c r="K57" s="3">
        <v>13</v>
      </c>
      <c r="L57">
        <v>0.15920000000000001</v>
      </c>
      <c r="M57">
        <v>9</v>
      </c>
    </row>
    <row r="58" spans="1:13">
      <c r="A58" s="3">
        <v>2025</v>
      </c>
      <c r="B58" s="3" t="s">
        <v>13</v>
      </c>
      <c r="C58" s="3" t="s">
        <v>7</v>
      </c>
      <c r="D58" s="3">
        <v>11</v>
      </c>
      <c r="E58" s="3">
        <v>73.319999999999993</v>
      </c>
      <c r="F58" s="3">
        <v>71.569999999999993</v>
      </c>
      <c r="G58" s="3">
        <f t="shared" si="0"/>
        <v>73.319999999999993</v>
      </c>
      <c r="H58" s="3">
        <v>70.88</v>
      </c>
      <c r="I58" s="3">
        <v>191.63</v>
      </c>
      <c r="J58" s="3">
        <v>100</v>
      </c>
      <c r="K58" s="3">
        <v>15.4</v>
      </c>
      <c r="L58">
        <v>0.38990000000000002</v>
      </c>
      <c r="M58">
        <v>7</v>
      </c>
    </row>
    <row r="59" spans="1:13">
      <c r="A59" s="3">
        <v>2025</v>
      </c>
      <c r="B59" s="3" t="s">
        <v>13</v>
      </c>
      <c r="C59" s="3" t="s">
        <v>7</v>
      </c>
      <c r="D59" s="3">
        <v>12</v>
      </c>
      <c r="E59" s="3">
        <v>75.569999999999993</v>
      </c>
      <c r="F59" s="3">
        <v>73.73</v>
      </c>
      <c r="G59" s="3">
        <f t="shared" si="0"/>
        <v>75.569999999999993</v>
      </c>
      <c r="H59" s="3">
        <v>69.02</v>
      </c>
      <c r="I59" s="3">
        <v>199.03</v>
      </c>
      <c r="J59" s="3">
        <v>95</v>
      </c>
      <c r="K59" s="3">
        <v>15.2</v>
      </c>
      <c r="L59">
        <v>0.17649999999999999</v>
      </c>
      <c r="M59">
        <v>8</v>
      </c>
    </row>
    <row r="60" spans="1:13">
      <c r="A60" s="3">
        <v>2025</v>
      </c>
      <c r="B60" s="3" t="s">
        <v>13</v>
      </c>
      <c r="C60" s="3" t="s">
        <v>7</v>
      </c>
      <c r="D60" s="3">
        <v>13</v>
      </c>
      <c r="E60" s="3">
        <v>71.209999999999994</v>
      </c>
      <c r="F60" s="3">
        <v>71.930000000000007</v>
      </c>
      <c r="G60" s="3">
        <f t="shared" si="0"/>
        <v>71.930000000000007</v>
      </c>
      <c r="H60" s="3">
        <v>69.819999999999993</v>
      </c>
      <c r="I60" s="3">
        <v>186.81</v>
      </c>
      <c r="J60" s="3">
        <v>95</v>
      </c>
      <c r="K60" s="3">
        <v>15.8</v>
      </c>
      <c r="L60">
        <v>0.2462</v>
      </c>
      <c r="M60">
        <v>6</v>
      </c>
    </row>
    <row r="61" spans="1:13">
      <c r="A61" s="3">
        <v>2025</v>
      </c>
      <c r="B61" s="3" t="s">
        <v>13</v>
      </c>
      <c r="C61" s="3" t="s">
        <v>7</v>
      </c>
      <c r="D61" s="3">
        <v>14</v>
      </c>
      <c r="E61" s="3">
        <v>84.59</v>
      </c>
      <c r="F61" s="3">
        <v>79.69</v>
      </c>
      <c r="G61" s="3">
        <f t="shared" si="0"/>
        <v>84.59</v>
      </c>
      <c r="H61" s="3">
        <v>72.36</v>
      </c>
      <c r="I61" s="3">
        <v>249.98</v>
      </c>
      <c r="J61" s="3">
        <v>95</v>
      </c>
      <c r="K61" s="3">
        <v>14.6</v>
      </c>
      <c r="L61">
        <v>0.1555</v>
      </c>
      <c r="M61">
        <v>9</v>
      </c>
    </row>
    <row r="62" spans="1:13">
      <c r="A62" s="3">
        <v>2025</v>
      </c>
      <c r="B62" s="3" t="s">
        <v>13</v>
      </c>
      <c r="C62" s="3" t="s">
        <v>7</v>
      </c>
      <c r="D62" s="3">
        <v>15</v>
      </c>
      <c r="E62" s="3">
        <v>75.5</v>
      </c>
      <c r="F62" s="3">
        <v>72.41</v>
      </c>
      <c r="G62" s="3">
        <f t="shared" si="0"/>
        <v>75.5</v>
      </c>
      <c r="H62" s="3">
        <v>66.3</v>
      </c>
      <c r="I62" s="3">
        <v>190.99</v>
      </c>
      <c r="J62" s="3">
        <v>90</v>
      </c>
      <c r="K62" s="3">
        <v>13.5</v>
      </c>
      <c r="L62">
        <v>0.21690000000000001</v>
      </c>
      <c r="M62">
        <v>7</v>
      </c>
    </row>
    <row r="63" spans="1:13">
      <c r="A63" s="3">
        <v>2025</v>
      </c>
      <c r="B63" s="3" t="s">
        <v>13</v>
      </c>
      <c r="C63" s="3" t="s">
        <v>6</v>
      </c>
      <c r="D63" s="3">
        <v>1</v>
      </c>
      <c r="E63" s="3">
        <v>89.73</v>
      </c>
      <c r="F63" s="3">
        <v>90.34</v>
      </c>
      <c r="G63" s="3">
        <f t="shared" si="0"/>
        <v>90.34</v>
      </c>
      <c r="H63" s="3">
        <v>84.82</v>
      </c>
      <c r="I63" s="3">
        <v>350.42</v>
      </c>
      <c r="J63" s="3">
        <v>100</v>
      </c>
      <c r="K63" s="3">
        <v>12.5</v>
      </c>
      <c r="L63">
        <v>0.19980000000000001</v>
      </c>
      <c r="M63">
        <v>6</v>
      </c>
    </row>
    <row r="64" spans="1:13">
      <c r="A64" s="3">
        <v>2025</v>
      </c>
      <c r="B64" s="3" t="s">
        <v>13</v>
      </c>
      <c r="C64" s="3" t="s">
        <v>6</v>
      </c>
      <c r="D64" s="3">
        <v>2</v>
      </c>
      <c r="E64" s="3">
        <v>88.94</v>
      </c>
      <c r="F64" s="3">
        <v>84.33</v>
      </c>
      <c r="G64" s="3">
        <f t="shared" si="0"/>
        <v>88.94</v>
      </c>
      <c r="H64" s="3">
        <v>76.36</v>
      </c>
      <c r="I64" s="3">
        <v>289.73</v>
      </c>
      <c r="J64" s="3">
        <v>95</v>
      </c>
      <c r="K64" s="3">
        <v>13.9</v>
      </c>
      <c r="L64">
        <v>0.28520000000000001</v>
      </c>
      <c r="M64">
        <v>8</v>
      </c>
    </row>
    <row r="65" spans="1:13">
      <c r="A65" s="3">
        <v>2025</v>
      </c>
      <c r="B65" s="3" t="s">
        <v>13</v>
      </c>
      <c r="C65" s="3" t="s">
        <v>6</v>
      </c>
      <c r="D65" s="3">
        <v>3</v>
      </c>
      <c r="E65" s="3">
        <v>78.37</v>
      </c>
      <c r="F65" s="3">
        <v>75.41</v>
      </c>
      <c r="G65" s="3">
        <f t="shared" si="0"/>
        <v>78.37</v>
      </c>
      <c r="H65" s="3">
        <v>74.98</v>
      </c>
      <c r="I65" s="3">
        <v>235.73</v>
      </c>
      <c r="J65" s="3">
        <v>100</v>
      </c>
      <c r="K65" s="3">
        <v>13.3</v>
      </c>
      <c r="L65">
        <v>0.21659999999999999</v>
      </c>
      <c r="M65">
        <v>5</v>
      </c>
    </row>
    <row r="66" spans="1:13">
      <c r="A66" s="3">
        <v>2025</v>
      </c>
      <c r="B66" s="3" t="s">
        <v>13</v>
      </c>
      <c r="C66" s="3" t="s">
        <v>6</v>
      </c>
      <c r="D66" s="3">
        <v>4</v>
      </c>
      <c r="E66" s="3">
        <v>82.4</v>
      </c>
      <c r="F66" s="3">
        <v>78.36</v>
      </c>
      <c r="G66" s="3">
        <f t="shared" si="0"/>
        <v>82.4</v>
      </c>
      <c r="H66" s="3">
        <v>78.069999999999993</v>
      </c>
      <c r="I66" s="3">
        <v>250.89</v>
      </c>
      <c r="J66" s="3">
        <v>100</v>
      </c>
      <c r="K66" s="3">
        <v>13.6</v>
      </c>
      <c r="L66">
        <v>0.19409999999999999</v>
      </c>
      <c r="M66">
        <v>5</v>
      </c>
    </row>
    <row r="67" spans="1:13">
      <c r="A67" s="3">
        <v>2025</v>
      </c>
      <c r="B67" s="3" t="s">
        <v>13</v>
      </c>
      <c r="C67" s="3" t="s">
        <v>6</v>
      </c>
      <c r="D67" s="3">
        <v>5</v>
      </c>
      <c r="E67" s="3">
        <v>78.59</v>
      </c>
      <c r="F67" s="3">
        <v>76.88</v>
      </c>
      <c r="G67" s="3">
        <f t="shared" si="0"/>
        <v>78.59</v>
      </c>
      <c r="H67" s="3">
        <v>68.319999999999993</v>
      </c>
      <c r="I67" s="3">
        <v>218.67</v>
      </c>
      <c r="J67" s="3">
        <v>100</v>
      </c>
      <c r="K67" s="3">
        <v>12.8</v>
      </c>
      <c r="L67">
        <v>0.31359999999999999</v>
      </c>
      <c r="M67">
        <v>4</v>
      </c>
    </row>
    <row r="68" spans="1:13">
      <c r="A68" s="3">
        <v>2025</v>
      </c>
      <c r="B68" s="3" t="s">
        <v>13</v>
      </c>
      <c r="C68" s="3" t="s">
        <v>6</v>
      </c>
      <c r="D68" s="3">
        <v>6</v>
      </c>
      <c r="E68" s="3">
        <v>75.09</v>
      </c>
      <c r="F68" s="3">
        <v>77.180000000000007</v>
      </c>
      <c r="G68" s="3">
        <f t="shared" ref="G68:G131" si="1">MAX(E68:F68)</f>
        <v>77.180000000000007</v>
      </c>
      <c r="H68" s="3">
        <v>65.81</v>
      </c>
      <c r="I68" s="3">
        <v>206.89</v>
      </c>
      <c r="J68" s="3">
        <v>95</v>
      </c>
      <c r="K68" s="3">
        <v>12.4</v>
      </c>
      <c r="L68">
        <v>0.37259999999999999</v>
      </c>
      <c r="M68">
        <v>5</v>
      </c>
    </row>
    <row r="69" spans="1:13">
      <c r="A69" s="3">
        <v>2025</v>
      </c>
      <c r="B69" s="3" t="s">
        <v>13</v>
      </c>
      <c r="C69" s="3" t="s">
        <v>6</v>
      </c>
      <c r="D69" s="3">
        <v>7</v>
      </c>
      <c r="E69" s="3">
        <v>83.33</v>
      </c>
      <c r="F69" s="3">
        <v>79.77</v>
      </c>
      <c r="G69" s="3">
        <f t="shared" si="1"/>
        <v>83.33</v>
      </c>
      <c r="H69" s="3">
        <v>75.83</v>
      </c>
      <c r="I69" s="3">
        <v>252.69</v>
      </c>
      <c r="J69" s="3">
        <v>95</v>
      </c>
      <c r="K69" s="3">
        <v>14.5</v>
      </c>
      <c r="L69">
        <v>0.19869999999999999</v>
      </c>
      <c r="M69">
        <v>6</v>
      </c>
    </row>
    <row r="70" spans="1:13">
      <c r="A70" s="3">
        <v>2025</v>
      </c>
      <c r="B70" s="3" t="s">
        <v>13</v>
      </c>
      <c r="C70" s="3" t="s">
        <v>6</v>
      </c>
      <c r="D70" s="3">
        <v>8</v>
      </c>
      <c r="E70" s="3">
        <v>83.09</v>
      </c>
      <c r="F70" s="3">
        <v>81.64</v>
      </c>
      <c r="G70" s="3">
        <f t="shared" si="1"/>
        <v>83.09</v>
      </c>
      <c r="H70" s="3">
        <v>73.739999999999995</v>
      </c>
      <c r="I70" s="3">
        <v>258.43</v>
      </c>
      <c r="J70" s="3">
        <v>100</v>
      </c>
      <c r="K70" s="3">
        <v>13.7</v>
      </c>
      <c r="L70">
        <v>0.38850000000000001</v>
      </c>
      <c r="M70">
        <v>5</v>
      </c>
    </row>
    <row r="71" spans="1:13">
      <c r="A71" s="3">
        <v>2025</v>
      </c>
      <c r="B71" s="3" t="s">
        <v>13</v>
      </c>
      <c r="C71" s="3" t="s">
        <v>6</v>
      </c>
      <c r="D71" s="3">
        <v>9</v>
      </c>
      <c r="E71" s="3">
        <v>75.95</v>
      </c>
      <c r="F71" s="3">
        <v>76.930000000000007</v>
      </c>
      <c r="G71" s="3">
        <f t="shared" si="1"/>
        <v>76.930000000000007</v>
      </c>
      <c r="H71" s="3">
        <v>65.849999999999994</v>
      </c>
      <c r="I71" s="3">
        <v>196.47</v>
      </c>
      <c r="J71" s="3">
        <v>95</v>
      </c>
      <c r="K71" s="3">
        <v>13</v>
      </c>
      <c r="L71">
        <v>0.6522</v>
      </c>
      <c r="M71">
        <v>4</v>
      </c>
    </row>
    <row r="72" spans="1:13">
      <c r="A72" s="3">
        <v>2025</v>
      </c>
      <c r="B72" s="3" t="s">
        <v>13</v>
      </c>
      <c r="C72" s="3" t="s">
        <v>6</v>
      </c>
      <c r="D72" s="3">
        <v>10</v>
      </c>
      <c r="E72" s="3">
        <v>78.19</v>
      </c>
      <c r="F72" s="3">
        <v>75.16</v>
      </c>
      <c r="G72" s="3">
        <f t="shared" si="1"/>
        <v>78.19</v>
      </c>
      <c r="H72" s="3">
        <v>70.89</v>
      </c>
      <c r="I72" s="3">
        <v>210.42</v>
      </c>
      <c r="J72" s="3">
        <v>95</v>
      </c>
      <c r="K72" s="3">
        <v>14.2</v>
      </c>
      <c r="L72">
        <v>0.37190000000000001</v>
      </c>
      <c r="M72">
        <v>5</v>
      </c>
    </row>
    <row r="73" spans="1:13">
      <c r="A73" s="3">
        <v>2025</v>
      </c>
      <c r="B73" s="3" t="s">
        <v>13</v>
      </c>
      <c r="C73" s="3" t="s">
        <v>6</v>
      </c>
      <c r="D73" s="3">
        <v>11</v>
      </c>
      <c r="E73" s="3">
        <v>66.62</v>
      </c>
      <c r="F73" s="3">
        <v>63.88</v>
      </c>
      <c r="G73" s="3">
        <f t="shared" si="1"/>
        <v>66.62</v>
      </c>
      <c r="H73" s="3">
        <v>56.59</v>
      </c>
      <c r="I73" s="3">
        <v>130.29</v>
      </c>
      <c r="J73" s="3">
        <v>85</v>
      </c>
      <c r="K73" s="3">
        <v>17.399999999999999</v>
      </c>
      <c r="L73">
        <v>0.31309999999999999</v>
      </c>
      <c r="M73">
        <v>3</v>
      </c>
    </row>
    <row r="74" spans="1:13">
      <c r="A74" s="3">
        <v>2025</v>
      </c>
      <c r="B74" s="3" t="s">
        <v>13</v>
      </c>
      <c r="C74" s="3" t="s">
        <v>6</v>
      </c>
      <c r="D74" s="3">
        <v>12</v>
      </c>
      <c r="E74" s="3">
        <v>79.430000000000007</v>
      </c>
      <c r="F74" s="3">
        <v>76.42</v>
      </c>
      <c r="G74" s="3">
        <f t="shared" si="1"/>
        <v>79.430000000000007</v>
      </c>
      <c r="H74" s="3">
        <v>73.62</v>
      </c>
      <c r="I74" s="3">
        <v>228.46</v>
      </c>
      <c r="J74" s="3">
        <v>95</v>
      </c>
      <c r="K74" s="3">
        <v>13.6</v>
      </c>
      <c r="L74">
        <v>0.14829999999999999</v>
      </c>
      <c r="M74">
        <v>5</v>
      </c>
    </row>
    <row r="75" spans="1:13">
      <c r="A75" s="3">
        <v>2025</v>
      </c>
      <c r="B75" s="3" t="s">
        <v>13</v>
      </c>
      <c r="C75" s="3" t="s">
        <v>6</v>
      </c>
      <c r="D75" s="3">
        <v>13</v>
      </c>
      <c r="E75" s="3">
        <v>80.150000000000006</v>
      </c>
      <c r="F75" s="3">
        <v>81.77</v>
      </c>
      <c r="G75" s="3">
        <f t="shared" si="1"/>
        <v>81.77</v>
      </c>
      <c r="H75" s="3">
        <v>77.31</v>
      </c>
      <c r="I75" s="3">
        <v>257.27999999999997</v>
      </c>
      <c r="J75" s="3">
        <v>90</v>
      </c>
      <c r="K75" s="3">
        <v>17.3</v>
      </c>
      <c r="L75">
        <v>0.19650000000000001</v>
      </c>
      <c r="M75">
        <v>5</v>
      </c>
    </row>
    <row r="76" spans="1:13">
      <c r="A76" s="3">
        <v>2025</v>
      </c>
      <c r="B76" s="3" t="s">
        <v>13</v>
      </c>
      <c r="C76" s="3" t="s">
        <v>6</v>
      </c>
      <c r="D76" s="3">
        <v>14</v>
      </c>
      <c r="E76" s="3">
        <v>80.81</v>
      </c>
      <c r="F76" s="3">
        <v>80.849999999999994</v>
      </c>
      <c r="G76" s="3">
        <f t="shared" si="1"/>
        <v>80.849999999999994</v>
      </c>
      <c r="H76" s="3">
        <v>65.44</v>
      </c>
      <c r="I76" s="3">
        <v>229.18</v>
      </c>
      <c r="J76" s="3">
        <v>100</v>
      </c>
      <c r="K76" s="3">
        <v>12</v>
      </c>
      <c r="L76">
        <v>0.16009999999999999</v>
      </c>
      <c r="M76">
        <v>6</v>
      </c>
    </row>
    <row r="77" spans="1:13">
      <c r="A77" s="3">
        <v>2025</v>
      </c>
      <c r="B77" s="3" t="s">
        <v>13</v>
      </c>
      <c r="C77" s="3" t="s">
        <v>6</v>
      </c>
      <c r="D77" s="3">
        <v>15</v>
      </c>
      <c r="E77" s="3">
        <v>82.11</v>
      </c>
      <c r="F77" s="3">
        <v>81.44</v>
      </c>
      <c r="G77" s="3">
        <f t="shared" si="1"/>
        <v>82.11</v>
      </c>
      <c r="H77" s="3">
        <v>74.400000000000006</v>
      </c>
      <c r="I77" s="3">
        <v>259.98</v>
      </c>
      <c r="J77" s="3">
        <v>95</v>
      </c>
      <c r="K77" s="3">
        <v>14.4</v>
      </c>
      <c r="L77">
        <v>0.27739999999999998</v>
      </c>
      <c r="M77">
        <v>4</v>
      </c>
    </row>
    <row r="78" spans="1:13">
      <c r="A78" s="3">
        <v>2025</v>
      </c>
      <c r="B78" s="3" t="s">
        <v>11</v>
      </c>
      <c r="C78" s="3" t="s">
        <v>8</v>
      </c>
      <c r="D78" s="3">
        <v>1</v>
      </c>
      <c r="E78" s="3">
        <v>67.22</v>
      </c>
      <c r="F78" s="3">
        <v>67.569999999999993</v>
      </c>
      <c r="G78" s="3">
        <f t="shared" si="1"/>
        <v>67.569999999999993</v>
      </c>
      <c r="H78" s="3">
        <v>54.92</v>
      </c>
      <c r="I78" s="3">
        <v>134.19</v>
      </c>
      <c r="J78" s="3">
        <v>80</v>
      </c>
      <c r="K78" s="3">
        <v>14.8</v>
      </c>
      <c r="L78">
        <v>0.67149999999999999</v>
      </c>
      <c r="M78">
        <v>6</v>
      </c>
    </row>
    <row r="79" spans="1:13">
      <c r="A79" s="3">
        <v>2025</v>
      </c>
      <c r="B79" s="3" t="s">
        <v>11</v>
      </c>
      <c r="C79" s="3" t="s">
        <v>8</v>
      </c>
      <c r="D79" s="3">
        <v>2</v>
      </c>
      <c r="E79" s="3">
        <v>65.75</v>
      </c>
      <c r="F79" s="3">
        <v>67.03</v>
      </c>
      <c r="G79" s="3">
        <f t="shared" si="1"/>
        <v>67.03</v>
      </c>
      <c r="H79" s="3">
        <v>56.9</v>
      </c>
      <c r="I79" s="3">
        <v>136.41999999999999</v>
      </c>
      <c r="J79" s="3">
        <v>90</v>
      </c>
      <c r="K79" s="3">
        <v>16</v>
      </c>
      <c r="L79">
        <v>0.187</v>
      </c>
      <c r="M79">
        <v>6</v>
      </c>
    </row>
    <row r="80" spans="1:13">
      <c r="A80" s="3">
        <v>2025</v>
      </c>
      <c r="B80" s="3" t="s">
        <v>11</v>
      </c>
      <c r="C80" s="3" t="s">
        <v>8</v>
      </c>
      <c r="D80" s="3">
        <v>3</v>
      </c>
      <c r="E80" s="3">
        <v>73.13</v>
      </c>
      <c r="F80" s="3">
        <v>71.39</v>
      </c>
      <c r="G80" s="3">
        <f t="shared" si="1"/>
        <v>73.13</v>
      </c>
      <c r="H80" s="3">
        <v>58.51</v>
      </c>
      <c r="I80" s="3">
        <v>167.02</v>
      </c>
      <c r="J80" s="3">
        <v>85</v>
      </c>
      <c r="K80" s="3">
        <v>13.4</v>
      </c>
      <c r="L80">
        <v>0.62039999999999995</v>
      </c>
      <c r="M80">
        <v>5</v>
      </c>
    </row>
    <row r="81" spans="1:13">
      <c r="A81" s="3">
        <v>2025</v>
      </c>
      <c r="B81" s="3" t="s">
        <v>11</v>
      </c>
      <c r="C81" s="3" t="s">
        <v>8</v>
      </c>
      <c r="D81" s="3">
        <v>4</v>
      </c>
      <c r="E81" s="3">
        <v>68.180000000000007</v>
      </c>
      <c r="F81" s="3">
        <v>71.27</v>
      </c>
      <c r="G81" s="3">
        <f t="shared" si="1"/>
        <v>71.27</v>
      </c>
      <c r="H81" s="3">
        <v>64.5</v>
      </c>
      <c r="I81" s="3">
        <v>162.47999999999999</v>
      </c>
      <c r="J81" s="3">
        <v>85</v>
      </c>
      <c r="K81" s="3">
        <v>15.3</v>
      </c>
      <c r="L81">
        <v>0.44500000000000001</v>
      </c>
      <c r="M81">
        <v>6</v>
      </c>
    </row>
    <row r="82" spans="1:13">
      <c r="A82" s="3">
        <v>2025</v>
      </c>
      <c r="B82" s="3" t="s">
        <v>11</v>
      </c>
      <c r="C82" s="3" t="s">
        <v>8</v>
      </c>
      <c r="D82" s="3">
        <v>5</v>
      </c>
      <c r="E82" s="3">
        <v>73.819999999999993</v>
      </c>
      <c r="F82" s="3">
        <v>74.92</v>
      </c>
      <c r="G82" s="3">
        <f t="shared" si="1"/>
        <v>74.92</v>
      </c>
      <c r="H82" s="3">
        <v>65.47</v>
      </c>
      <c r="I82" s="3">
        <v>193.15</v>
      </c>
      <c r="J82" s="3">
        <v>100</v>
      </c>
      <c r="K82" s="3">
        <v>14.2</v>
      </c>
      <c r="L82">
        <v>0.27339999999999998</v>
      </c>
      <c r="M82">
        <v>5</v>
      </c>
    </row>
    <row r="83" spans="1:13">
      <c r="A83" s="3">
        <v>2025</v>
      </c>
      <c r="B83" s="3" t="s">
        <v>11</v>
      </c>
      <c r="C83" s="3" t="s">
        <v>8</v>
      </c>
      <c r="D83" s="3">
        <v>6</v>
      </c>
      <c r="E83" s="3">
        <v>70.59</v>
      </c>
      <c r="F83" s="3">
        <v>75.680000000000007</v>
      </c>
      <c r="G83" s="3">
        <f t="shared" si="1"/>
        <v>75.680000000000007</v>
      </c>
      <c r="H83" s="3">
        <v>59.27</v>
      </c>
      <c r="I83" s="3">
        <v>181.41</v>
      </c>
      <c r="J83" s="3">
        <v>85</v>
      </c>
      <c r="K83" s="3">
        <v>15.6</v>
      </c>
      <c r="L83">
        <v>0.54510000000000003</v>
      </c>
      <c r="M83">
        <v>4</v>
      </c>
    </row>
    <row r="84" spans="1:13">
      <c r="A84" s="3">
        <v>2025</v>
      </c>
      <c r="B84" s="3" t="s">
        <v>11</v>
      </c>
      <c r="C84" s="3" t="s">
        <v>8</v>
      </c>
      <c r="D84" s="3">
        <v>7</v>
      </c>
      <c r="E84" s="3">
        <v>79.44</v>
      </c>
      <c r="F84" s="3">
        <v>78.430000000000007</v>
      </c>
      <c r="G84" s="3">
        <f t="shared" si="1"/>
        <v>79.44</v>
      </c>
      <c r="H84" s="3">
        <v>70.44</v>
      </c>
      <c r="I84" s="3">
        <v>221.43</v>
      </c>
      <c r="J84" s="3">
        <v>100</v>
      </c>
      <c r="K84" s="3">
        <v>15.2</v>
      </c>
      <c r="L84">
        <v>0.30170000000000002</v>
      </c>
      <c r="M84">
        <v>8</v>
      </c>
    </row>
    <row r="85" spans="1:13">
      <c r="A85" s="3">
        <v>2025</v>
      </c>
      <c r="B85" s="3" t="s">
        <v>11</v>
      </c>
      <c r="C85" s="3" t="s">
        <v>8</v>
      </c>
      <c r="D85" s="3">
        <v>8</v>
      </c>
      <c r="E85" s="3">
        <v>78.239999999999995</v>
      </c>
      <c r="F85" s="3">
        <v>79.239999999999995</v>
      </c>
      <c r="G85" s="3">
        <f t="shared" si="1"/>
        <v>79.239999999999995</v>
      </c>
      <c r="H85" s="3">
        <v>72.02</v>
      </c>
      <c r="I85" s="3">
        <v>228.59</v>
      </c>
      <c r="J85" s="3">
        <v>85</v>
      </c>
      <c r="K85" s="3">
        <v>14.9</v>
      </c>
      <c r="L85">
        <v>0.20979999999999999</v>
      </c>
      <c r="M85">
        <v>8</v>
      </c>
    </row>
    <row r="86" spans="1:13">
      <c r="A86" s="3">
        <v>2025</v>
      </c>
      <c r="B86" s="3" t="s">
        <v>11</v>
      </c>
      <c r="C86" s="3" t="s">
        <v>8</v>
      </c>
      <c r="D86" s="3">
        <v>9</v>
      </c>
      <c r="E86" s="3">
        <v>78.47</v>
      </c>
      <c r="F86" s="3">
        <v>77.209999999999994</v>
      </c>
      <c r="G86" s="3">
        <f t="shared" si="1"/>
        <v>78.47</v>
      </c>
      <c r="H86" s="3">
        <v>65.3</v>
      </c>
      <c r="I86" s="3">
        <v>220.56</v>
      </c>
      <c r="J86" s="3">
        <v>90</v>
      </c>
      <c r="K86" s="3">
        <v>14.6</v>
      </c>
      <c r="L86">
        <v>0.40539999999999998</v>
      </c>
      <c r="M86">
        <v>5</v>
      </c>
    </row>
    <row r="87" spans="1:13">
      <c r="A87" s="3">
        <v>2025</v>
      </c>
      <c r="B87" s="3" t="s">
        <v>11</v>
      </c>
      <c r="C87" s="3" t="s">
        <v>8</v>
      </c>
      <c r="D87" s="3">
        <v>10</v>
      </c>
      <c r="E87" s="3">
        <v>72.19</v>
      </c>
      <c r="F87" s="3">
        <v>71.540000000000006</v>
      </c>
      <c r="G87" s="3">
        <f t="shared" si="1"/>
        <v>72.19</v>
      </c>
      <c r="H87" s="3">
        <v>65.89</v>
      </c>
      <c r="I87" s="3">
        <v>178.75</v>
      </c>
      <c r="J87" s="3">
        <v>80</v>
      </c>
      <c r="K87" s="3">
        <v>14.6</v>
      </c>
      <c r="L87">
        <v>0.35859999999999997</v>
      </c>
      <c r="M87">
        <v>7</v>
      </c>
    </row>
    <row r="88" spans="1:13">
      <c r="A88" s="3">
        <v>2025</v>
      </c>
      <c r="B88" s="3" t="s">
        <v>11</v>
      </c>
      <c r="C88" s="3" t="s">
        <v>8</v>
      </c>
      <c r="D88" s="3">
        <v>11</v>
      </c>
      <c r="E88" s="3">
        <v>63.02</v>
      </c>
      <c r="F88" s="3">
        <v>65.11</v>
      </c>
      <c r="G88" s="3">
        <f t="shared" si="1"/>
        <v>65.11</v>
      </c>
      <c r="H88" s="3">
        <v>53.87</v>
      </c>
      <c r="I88" s="3">
        <v>119.72</v>
      </c>
      <c r="J88" s="3">
        <v>80</v>
      </c>
      <c r="K88" s="3">
        <v>12</v>
      </c>
      <c r="L88">
        <v>1.175</v>
      </c>
      <c r="M88">
        <v>1</v>
      </c>
    </row>
    <row r="89" spans="1:13">
      <c r="A89" s="3">
        <v>2025</v>
      </c>
      <c r="B89" s="3" t="s">
        <v>11</v>
      </c>
      <c r="C89" s="3" t="s">
        <v>8</v>
      </c>
      <c r="D89" s="3">
        <v>12</v>
      </c>
      <c r="E89" s="3">
        <v>64.260000000000005</v>
      </c>
      <c r="F89" s="3">
        <v>65.62</v>
      </c>
      <c r="G89" s="3">
        <f t="shared" si="1"/>
        <v>65.62</v>
      </c>
      <c r="H89" s="3">
        <v>61.63</v>
      </c>
      <c r="I89" s="3">
        <v>137.46</v>
      </c>
      <c r="J89" s="3">
        <v>85</v>
      </c>
      <c r="K89" s="3">
        <v>15.2</v>
      </c>
      <c r="L89">
        <v>0.66979999999999995</v>
      </c>
      <c r="M89">
        <v>6</v>
      </c>
    </row>
    <row r="90" spans="1:13">
      <c r="A90" s="3">
        <v>2025</v>
      </c>
      <c r="B90" s="3" t="s">
        <v>11</v>
      </c>
      <c r="C90" s="3" t="s">
        <v>8</v>
      </c>
      <c r="D90" s="3">
        <v>13</v>
      </c>
      <c r="E90" s="3">
        <v>66.08</v>
      </c>
      <c r="F90" s="3">
        <v>67.459999999999994</v>
      </c>
      <c r="G90" s="3">
        <f t="shared" si="1"/>
        <v>67.459999999999994</v>
      </c>
      <c r="H90" s="3">
        <v>55.2</v>
      </c>
      <c r="I90" s="3">
        <v>139.97</v>
      </c>
      <c r="J90" s="3">
        <v>80</v>
      </c>
      <c r="K90" s="3">
        <v>16.2</v>
      </c>
      <c r="L90">
        <v>0.38700000000000001</v>
      </c>
      <c r="M90">
        <v>4</v>
      </c>
    </row>
    <row r="91" spans="1:13">
      <c r="A91" s="3">
        <v>2025</v>
      </c>
      <c r="B91" s="3" t="s">
        <v>11</v>
      </c>
      <c r="C91" s="3" t="s">
        <v>8</v>
      </c>
      <c r="D91" s="3">
        <v>14</v>
      </c>
      <c r="E91" s="3">
        <v>74.69</v>
      </c>
      <c r="F91" s="3">
        <v>67.349999999999994</v>
      </c>
      <c r="G91" s="3">
        <f t="shared" si="1"/>
        <v>74.69</v>
      </c>
      <c r="H91" s="3">
        <v>62.66</v>
      </c>
      <c r="I91" s="3">
        <v>172.67</v>
      </c>
      <c r="J91" s="3">
        <v>75</v>
      </c>
      <c r="K91" s="3">
        <v>14.9</v>
      </c>
      <c r="L91">
        <v>0.11119999999999999</v>
      </c>
      <c r="M91">
        <v>8</v>
      </c>
    </row>
    <row r="92" spans="1:13">
      <c r="A92" s="3">
        <v>2025</v>
      </c>
      <c r="B92" s="3" t="s">
        <v>11</v>
      </c>
      <c r="C92" s="3" t="s">
        <v>8</v>
      </c>
      <c r="D92" s="3">
        <v>15</v>
      </c>
      <c r="E92" s="3">
        <v>78.599999999999994</v>
      </c>
      <c r="F92" s="3">
        <v>77.760000000000005</v>
      </c>
      <c r="G92" s="3">
        <f t="shared" si="1"/>
        <v>78.599999999999994</v>
      </c>
      <c r="H92" s="3">
        <v>75.180000000000007</v>
      </c>
      <c r="I92" s="3">
        <v>228.81</v>
      </c>
      <c r="J92" s="3">
        <v>100</v>
      </c>
      <c r="K92" s="3">
        <v>13.2</v>
      </c>
      <c r="L92">
        <v>0.44330000000000003</v>
      </c>
      <c r="M92">
        <v>7</v>
      </c>
    </row>
    <row r="93" spans="1:13">
      <c r="A93" s="3">
        <v>2025</v>
      </c>
      <c r="B93" s="3" t="s">
        <v>11</v>
      </c>
      <c r="C93" s="3" t="s">
        <v>6</v>
      </c>
      <c r="D93" s="3">
        <v>1</v>
      </c>
      <c r="E93" s="3">
        <v>76.489999999999995</v>
      </c>
      <c r="F93" s="3">
        <v>76.94</v>
      </c>
      <c r="G93" s="3">
        <f t="shared" si="1"/>
        <v>76.94</v>
      </c>
      <c r="H93" s="3">
        <v>66.66</v>
      </c>
      <c r="I93" s="3">
        <v>221.21</v>
      </c>
      <c r="J93" s="3">
        <v>80</v>
      </c>
      <c r="K93" s="3">
        <v>12.5</v>
      </c>
      <c r="L93">
        <v>0.54010000000000002</v>
      </c>
      <c r="M93">
        <v>5</v>
      </c>
    </row>
    <row r="94" spans="1:13">
      <c r="A94" s="3">
        <v>2025</v>
      </c>
      <c r="B94" s="3" t="s">
        <v>11</v>
      </c>
      <c r="C94" s="3" t="s">
        <v>6</v>
      </c>
      <c r="D94" s="3">
        <v>2</v>
      </c>
      <c r="E94" s="3">
        <v>75.5</v>
      </c>
      <c r="F94" s="3">
        <v>82.5</v>
      </c>
      <c r="G94" s="3">
        <f t="shared" si="1"/>
        <v>82.5</v>
      </c>
      <c r="H94" s="3">
        <v>78.42</v>
      </c>
      <c r="I94" s="3">
        <v>256.24</v>
      </c>
      <c r="J94" s="3">
        <v>100</v>
      </c>
      <c r="K94" s="3">
        <v>14.2</v>
      </c>
      <c r="L94">
        <v>0.28260000000000002</v>
      </c>
      <c r="M94">
        <v>10</v>
      </c>
    </row>
    <row r="95" spans="1:13">
      <c r="A95" s="3">
        <v>2025</v>
      </c>
      <c r="B95" s="3" t="s">
        <v>11</v>
      </c>
      <c r="C95" s="3" t="s">
        <v>6</v>
      </c>
      <c r="D95" s="3">
        <v>3</v>
      </c>
      <c r="E95" s="3">
        <v>84.22</v>
      </c>
      <c r="F95" s="3">
        <v>84.42</v>
      </c>
      <c r="G95" s="3">
        <f t="shared" si="1"/>
        <v>84.42</v>
      </c>
      <c r="H95" s="3">
        <v>79.319999999999993</v>
      </c>
      <c r="I95" s="3">
        <v>276.08999999999997</v>
      </c>
      <c r="J95" s="3">
        <v>95</v>
      </c>
      <c r="K95" s="3">
        <v>13.1</v>
      </c>
      <c r="L95">
        <v>0.49280000000000002</v>
      </c>
      <c r="M95">
        <v>5</v>
      </c>
    </row>
    <row r="96" spans="1:13">
      <c r="A96" s="3">
        <v>2025</v>
      </c>
      <c r="B96" s="3" t="s">
        <v>11</v>
      </c>
      <c r="C96" s="3" t="s">
        <v>6</v>
      </c>
      <c r="D96" s="3">
        <v>4</v>
      </c>
      <c r="E96" s="3">
        <v>76.88</v>
      </c>
      <c r="F96" s="3">
        <v>78.349999999999994</v>
      </c>
      <c r="G96" s="3">
        <f t="shared" si="1"/>
        <v>78.349999999999994</v>
      </c>
      <c r="H96" s="3">
        <v>73.8</v>
      </c>
      <c r="I96" s="3">
        <v>218.7</v>
      </c>
      <c r="J96" s="3">
        <v>95</v>
      </c>
      <c r="K96" s="3">
        <v>14.8</v>
      </c>
      <c r="L96">
        <v>0.43459999999999999</v>
      </c>
      <c r="M96">
        <v>5</v>
      </c>
    </row>
    <row r="97" spans="1:13">
      <c r="A97" s="3">
        <v>2025</v>
      </c>
      <c r="B97" s="3" t="s">
        <v>11</v>
      </c>
      <c r="C97" s="3" t="s">
        <v>6</v>
      </c>
      <c r="D97" s="3">
        <v>5</v>
      </c>
      <c r="E97" s="3">
        <v>72.41</v>
      </c>
      <c r="F97" s="3">
        <v>79.760000000000005</v>
      </c>
      <c r="G97" s="3">
        <f t="shared" si="1"/>
        <v>79.760000000000005</v>
      </c>
      <c r="H97" s="3">
        <v>65</v>
      </c>
      <c r="I97" s="3">
        <v>194.69</v>
      </c>
      <c r="J97" s="3">
        <v>75</v>
      </c>
      <c r="K97" s="3">
        <v>13.2</v>
      </c>
      <c r="L97">
        <v>0.70989999999999998</v>
      </c>
      <c r="M97">
        <v>5</v>
      </c>
    </row>
    <row r="98" spans="1:13">
      <c r="A98" s="3">
        <v>2025</v>
      </c>
      <c r="B98" s="3" t="s">
        <v>11</v>
      </c>
      <c r="C98" s="3" t="s">
        <v>6</v>
      </c>
      <c r="D98" s="3">
        <v>6</v>
      </c>
      <c r="E98" s="3">
        <v>81.84</v>
      </c>
      <c r="F98" s="3">
        <v>82.63</v>
      </c>
      <c r="G98" s="3">
        <f t="shared" si="1"/>
        <v>82.63</v>
      </c>
      <c r="H98" s="3">
        <v>77.94</v>
      </c>
      <c r="I98" s="3">
        <v>273.64999999999998</v>
      </c>
      <c r="J98" s="3">
        <v>90</v>
      </c>
      <c r="K98" s="3">
        <v>13.7</v>
      </c>
      <c r="L98">
        <v>0.52569999999999995</v>
      </c>
      <c r="M98">
        <v>6</v>
      </c>
    </row>
    <row r="99" spans="1:13">
      <c r="A99" s="3">
        <v>2025</v>
      </c>
      <c r="B99" s="3" t="s">
        <v>11</v>
      </c>
      <c r="C99" s="3" t="s">
        <v>6</v>
      </c>
      <c r="D99" s="3">
        <v>7</v>
      </c>
      <c r="E99" s="3">
        <v>74.180000000000007</v>
      </c>
      <c r="F99" s="3">
        <v>76.14</v>
      </c>
      <c r="G99" s="3">
        <f t="shared" si="1"/>
        <v>76.14</v>
      </c>
      <c r="H99" s="3">
        <v>67.36</v>
      </c>
      <c r="I99" s="3">
        <v>197.3</v>
      </c>
      <c r="J99" s="3">
        <v>90</v>
      </c>
      <c r="K99" s="3">
        <v>12.5</v>
      </c>
      <c r="L99">
        <v>0.45269999999999999</v>
      </c>
      <c r="M99">
        <v>6</v>
      </c>
    </row>
    <row r="100" spans="1:13">
      <c r="A100" s="3">
        <v>2025</v>
      </c>
      <c r="B100" s="3" t="s">
        <v>11</v>
      </c>
      <c r="C100" s="3" t="s">
        <v>6</v>
      </c>
      <c r="D100" s="3">
        <v>8</v>
      </c>
      <c r="E100" s="3">
        <v>82.73</v>
      </c>
      <c r="F100" s="3">
        <v>79.150000000000006</v>
      </c>
      <c r="G100" s="3">
        <f t="shared" si="1"/>
        <v>82.73</v>
      </c>
      <c r="H100" s="3">
        <v>68.5</v>
      </c>
      <c r="I100" s="3">
        <v>240.86</v>
      </c>
      <c r="J100" s="3">
        <v>90</v>
      </c>
      <c r="K100" s="3">
        <v>15.4</v>
      </c>
      <c r="L100">
        <v>0.58989999999999998</v>
      </c>
      <c r="M100">
        <v>5</v>
      </c>
    </row>
    <row r="101" spans="1:13">
      <c r="A101" s="3">
        <v>2025</v>
      </c>
      <c r="B101" s="3" t="s">
        <v>11</v>
      </c>
      <c r="C101" s="3" t="s">
        <v>6</v>
      </c>
      <c r="D101" s="3">
        <v>9</v>
      </c>
      <c r="E101" s="3">
        <v>83.51</v>
      </c>
      <c r="F101" s="3">
        <v>81.680000000000007</v>
      </c>
      <c r="G101" s="3">
        <f t="shared" si="1"/>
        <v>83.51</v>
      </c>
      <c r="H101" s="3">
        <v>71.790000000000006</v>
      </c>
      <c r="I101" s="3">
        <v>248.52</v>
      </c>
      <c r="J101" s="3">
        <v>90</v>
      </c>
      <c r="K101" s="3">
        <v>14.6</v>
      </c>
      <c r="L101">
        <v>0.41799999999999998</v>
      </c>
      <c r="M101">
        <v>6</v>
      </c>
    </row>
    <row r="102" spans="1:13">
      <c r="A102" s="3">
        <v>2025</v>
      </c>
      <c r="B102" s="3" t="s">
        <v>11</v>
      </c>
      <c r="C102" s="3" t="s">
        <v>6</v>
      </c>
      <c r="D102" s="3">
        <v>10</v>
      </c>
      <c r="E102" s="3">
        <v>80.819999999999993</v>
      </c>
      <c r="F102" s="3">
        <v>82.08</v>
      </c>
      <c r="G102" s="3">
        <f t="shared" si="1"/>
        <v>82.08</v>
      </c>
      <c r="H102" s="3">
        <v>79.010000000000005</v>
      </c>
      <c r="I102" s="3">
        <v>244.81</v>
      </c>
      <c r="J102" s="3">
        <v>100</v>
      </c>
      <c r="K102" s="3">
        <v>13.9</v>
      </c>
      <c r="L102">
        <v>0.40989999999999999</v>
      </c>
      <c r="M102">
        <v>8</v>
      </c>
    </row>
    <row r="103" spans="1:13">
      <c r="A103" s="3">
        <v>2025</v>
      </c>
      <c r="B103" s="3" t="s">
        <v>11</v>
      </c>
      <c r="C103" s="3" t="s">
        <v>6</v>
      </c>
      <c r="D103" s="3">
        <v>11</v>
      </c>
      <c r="E103" s="3">
        <v>78.040000000000006</v>
      </c>
      <c r="F103" s="3">
        <v>79.239999999999995</v>
      </c>
      <c r="G103" s="3">
        <f t="shared" si="1"/>
        <v>79.239999999999995</v>
      </c>
      <c r="H103" s="3">
        <v>78.47</v>
      </c>
      <c r="I103" s="3">
        <v>247.79</v>
      </c>
      <c r="J103" s="3">
        <v>100</v>
      </c>
      <c r="K103" s="3">
        <v>14.1</v>
      </c>
      <c r="L103">
        <v>0.44640000000000002</v>
      </c>
      <c r="M103">
        <v>6</v>
      </c>
    </row>
    <row r="104" spans="1:13">
      <c r="A104" s="3">
        <v>2025</v>
      </c>
      <c r="B104" s="3" t="s">
        <v>11</v>
      </c>
      <c r="C104" s="3" t="s">
        <v>6</v>
      </c>
      <c r="D104" s="3">
        <v>12</v>
      </c>
      <c r="E104" s="3">
        <v>80.86</v>
      </c>
      <c r="F104" s="3">
        <v>79.81</v>
      </c>
      <c r="G104" s="3">
        <f t="shared" si="1"/>
        <v>80.86</v>
      </c>
      <c r="H104" s="3">
        <v>73.680000000000007</v>
      </c>
      <c r="I104" s="3">
        <v>251.31</v>
      </c>
      <c r="J104" s="3">
        <v>95</v>
      </c>
      <c r="K104" s="3">
        <v>13.2</v>
      </c>
      <c r="L104">
        <v>0.68159999999999998</v>
      </c>
      <c r="M104">
        <v>5</v>
      </c>
    </row>
    <row r="105" spans="1:13">
      <c r="A105" s="3">
        <v>2025</v>
      </c>
      <c r="B105" s="3" t="s">
        <v>11</v>
      </c>
      <c r="C105" s="3" t="s">
        <v>6</v>
      </c>
      <c r="D105" s="3">
        <v>13</v>
      </c>
      <c r="E105" s="3">
        <v>79.430000000000007</v>
      </c>
      <c r="F105" s="3">
        <v>79.27</v>
      </c>
      <c r="G105" s="3">
        <f t="shared" si="1"/>
        <v>79.430000000000007</v>
      </c>
      <c r="H105" s="3">
        <v>77.78</v>
      </c>
      <c r="I105" s="3">
        <v>249.51</v>
      </c>
      <c r="J105" s="3">
        <v>100</v>
      </c>
      <c r="K105" s="3">
        <v>13.8</v>
      </c>
      <c r="L105">
        <v>0.44469999999999998</v>
      </c>
      <c r="M105">
        <v>9</v>
      </c>
    </row>
    <row r="106" spans="1:13">
      <c r="A106" s="3">
        <v>2025</v>
      </c>
      <c r="B106" s="3" t="s">
        <v>11</v>
      </c>
      <c r="C106" s="3" t="s">
        <v>6</v>
      </c>
      <c r="D106" s="3">
        <v>14</v>
      </c>
      <c r="E106" s="3">
        <v>81.02</v>
      </c>
      <c r="F106" s="3">
        <v>80.16</v>
      </c>
      <c r="G106" s="3">
        <f t="shared" si="1"/>
        <v>81.02</v>
      </c>
      <c r="H106" s="3">
        <v>67.540000000000006</v>
      </c>
      <c r="I106" s="3">
        <v>227.44</v>
      </c>
      <c r="J106" s="3">
        <v>90</v>
      </c>
      <c r="K106" s="3">
        <v>13.7</v>
      </c>
      <c r="L106">
        <v>0.35830000000000001</v>
      </c>
      <c r="M106">
        <v>7</v>
      </c>
    </row>
    <row r="107" spans="1:13">
      <c r="A107" s="3">
        <v>2025</v>
      </c>
      <c r="B107" s="3" t="s">
        <v>11</v>
      </c>
      <c r="C107" s="3" t="s">
        <v>6</v>
      </c>
      <c r="D107" s="3">
        <v>15</v>
      </c>
      <c r="E107" s="3">
        <v>76.069999999999993</v>
      </c>
      <c r="F107" s="3">
        <v>72</v>
      </c>
      <c r="G107" s="3">
        <f t="shared" si="1"/>
        <v>76.069999999999993</v>
      </c>
      <c r="H107" s="3">
        <v>61.63</v>
      </c>
      <c r="I107" s="3">
        <v>183.53</v>
      </c>
      <c r="J107" s="3">
        <v>90</v>
      </c>
      <c r="K107" s="3">
        <v>13.8</v>
      </c>
      <c r="L107">
        <v>0.63980000000000004</v>
      </c>
      <c r="M107">
        <v>5</v>
      </c>
    </row>
    <row r="108" spans="1:13">
      <c r="A108" s="3">
        <v>2025</v>
      </c>
      <c r="B108" s="3" t="s">
        <v>11</v>
      </c>
      <c r="C108" s="3" t="s">
        <v>10</v>
      </c>
      <c r="D108" s="3">
        <v>1</v>
      </c>
      <c r="E108" s="3">
        <v>85.72</v>
      </c>
      <c r="F108" s="3">
        <v>83.79</v>
      </c>
      <c r="G108" s="3">
        <f t="shared" si="1"/>
        <v>85.72</v>
      </c>
      <c r="H108" s="3">
        <v>77.709999999999994</v>
      </c>
      <c r="I108" s="3">
        <v>284.94</v>
      </c>
      <c r="J108" s="3">
        <v>85</v>
      </c>
      <c r="K108" s="3">
        <v>14.5</v>
      </c>
      <c r="L108">
        <v>0.2107</v>
      </c>
      <c r="M108">
        <v>10</v>
      </c>
    </row>
    <row r="109" spans="1:13">
      <c r="A109" s="3">
        <v>2025</v>
      </c>
      <c r="B109" s="3" t="s">
        <v>11</v>
      </c>
      <c r="C109" s="3" t="s">
        <v>10</v>
      </c>
      <c r="D109" s="3">
        <v>2</v>
      </c>
      <c r="E109" s="3">
        <v>78.83</v>
      </c>
      <c r="F109" s="3">
        <v>76.83</v>
      </c>
      <c r="G109" s="3">
        <f t="shared" si="1"/>
        <v>78.83</v>
      </c>
      <c r="H109" s="3">
        <v>70.52</v>
      </c>
      <c r="I109" s="3">
        <v>223.8</v>
      </c>
      <c r="J109" s="3">
        <v>90</v>
      </c>
      <c r="K109" s="3">
        <v>13.2</v>
      </c>
      <c r="L109">
        <v>0.47699999999999998</v>
      </c>
      <c r="M109">
        <v>5</v>
      </c>
    </row>
    <row r="110" spans="1:13">
      <c r="A110" s="3">
        <v>2025</v>
      </c>
      <c r="B110" s="3" t="s">
        <v>11</v>
      </c>
      <c r="C110" s="3" t="s">
        <v>10</v>
      </c>
      <c r="D110" s="3">
        <v>3</v>
      </c>
      <c r="E110" s="3">
        <v>67.97</v>
      </c>
      <c r="F110" s="3">
        <v>66.62</v>
      </c>
      <c r="G110" s="3">
        <f t="shared" si="1"/>
        <v>67.97</v>
      </c>
      <c r="H110" s="3">
        <v>71.63</v>
      </c>
      <c r="I110" s="3">
        <v>168.28</v>
      </c>
      <c r="J110" s="3">
        <v>90</v>
      </c>
      <c r="K110" s="3">
        <v>13.2</v>
      </c>
      <c r="L110">
        <v>0.37240000000000001</v>
      </c>
      <c r="M110">
        <v>8</v>
      </c>
    </row>
    <row r="111" spans="1:13">
      <c r="A111" s="3">
        <v>2025</v>
      </c>
      <c r="B111" s="3" t="s">
        <v>11</v>
      </c>
      <c r="C111" s="3" t="s">
        <v>10</v>
      </c>
      <c r="D111" s="3">
        <v>4</v>
      </c>
      <c r="E111" s="3">
        <v>79.599999999999994</v>
      </c>
      <c r="F111" s="3">
        <v>78.45</v>
      </c>
      <c r="G111" s="3">
        <f t="shared" si="1"/>
        <v>79.599999999999994</v>
      </c>
      <c r="H111" s="3">
        <v>71.44</v>
      </c>
      <c r="I111" s="3">
        <v>235.55</v>
      </c>
      <c r="J111" s="3">
        <v>95</v>
      </c>
      <c r="K111" s="3">
        <v>14</v>
      </c>
      <c r="L111">
        <v>0.4017</v>
      </c>
      <c r="M111">
        <v>6</v>
      </c>
    </row>
    <row r="112" spans="1:13">
      <c r="A112" s="3">
        <v>2025</v>
      </c>
      <c r="B112" s="3" t="s">
        <v>11</v>
      </c>
      <c r="C112" s="3" t="s">
        <v>10</v>
      </c>
      <c r="D112" s="3">
        <v>5</v>
      </c>
      <c r="E112" s="3">
        <v>79.73</v>
      </c>
      <c r="F112" s="3">
        <v>76.75</v>
      </c>
      <c r="G112" s="3">
        <f t="shared" si="1"/>
        <v>79.73</v>
      </c>
      <c r="H112" s="3">
        <v>76.7</v>
      </c>
      <c r="I112" s="3">
        <v>243.21</v>
      </c>
      <c r="J112" s="3">
        <v>95</v>
      </c>
      <c r="K112" s="3">
        <v>14</v>
      </c>
      <c r="L112">
        <v>0.37130000000000002</v>
      </c>
      <c r="M112">
        <v>7</v>
      </c>
    </row>
    <row r="113" spans="1:13">
      <c r="A113" s="3">
        <v>2025</v>
      </c>
      <c r="B113" s="3" t="s">
        <v>11</v>
      </c>
      <c r="C113" s="3" t="s">
        <v>10</v>
      </c>
      <c r="D113" s="3">
        <v>6</v>
      </c>
      <c r="E113" s="3">
        <v>76.3</v>
      </c>
      <c r="F113" s="3">
        <v>73.44</v>
      </c>
      <c r="G113" s="3">
        <f t="shared" si="1"/>
        <v>76.3</v>
      </c>
      <c r="H113" s="3">
        <v>70.430000000000007</v>
      </c>
      <c r="I113" s="3">
        <v>210.97</v>
      </c>
      <c r="J113" s="3">
        <v>100</v>
      </c>
      <c r="K113" s="3">
        <v>14.7</v>
      </c>
      <c r="L113">
        <v>0.25719999999999998</v>
      </c>
      <c r="M113">
        <v>7</v>
      </c>
    </row>
    <row r="114" spans="1:13">
      <c r="A114" s="3">
        <v>2025</v>
      </c>
      <c r="B114" s="3" t="s">
        <v>11</v>
      </c>
      <c r="C114" s="3" t="s">
        <v>10</v>
      </c>
      <c r="D114" s="3">
        <v>7</v>
      </c>
      <c r="E114" s="3">
        <v>82.02</v>
      </c>
      <c r="F114" s="3">
        <v>79.680000000000007</v>
      </c>
      <c r="G114" s="3">
        <f t="shared" si="1"/>
        <v>82.02</v>
      </c>
      <c r="H114" s="3">
        <v>74.22</v>
      </c>
      <c r="I114" s="3">
        <v>250.03</v>
      </c>
      <c r="J114" s="3">
        <v>90</v>
      </c>
      <c r="K114" s="3">
        <v>13.9</v>
      </c>
      <c r="L114">
        <v>0.44590000000000002</v>
      </c>
      <c r="M114">
        <v>9</v>
      </c>
    </row>
    <row r="115" spans="1:13">
      <c r="A115" s="3">
        <v>2025</v>
      </c>
      <c r="B115" s="3" t="s">
        <v>11</v>
      </c>
      <c r="C115" s="3" t="s">
        <v>10</v>
      </c>
      <c r="D115" s="3">
        <v>8</v>
      </c>
      <c r="E115" s="3">
        <v>76.45</v>
      </c>
      <c r="F115" s="3">
        <v>78.650000000000006</v>
      </c>
      <c r="G115" s="3">
        <f t="shared" si="1"/>
        <v>78.650000000000006</v>
      </c>
      <c r="H115" s="3">
        <v>78.02</v>
      </c>
      <c r="I115" s="3">
        <v>234.34</v>
      </c>
      <c r="J115" s="3">
        <v>95</v>
      </c>
      <c r="K115" s="3">
        <v>14.4</v>
      </c>
      <c r="L115">
        <v>0.35899999999999999</v>
      </c>
      <c r="M115">
        <v>9</v>
      </c>
    </row>
    <row r="116" spans="1:13">
      <c r="A116" s="3">
        <v>2025</v>
      </c>
      <c r="B116" s="3" t="s">
        <v>11</v>
      </c>
      <c r="C116" s="3" t="s">
        <v>10</v>
      </c>
      <c r="D116" s="3">
        <v>9</v>
      </c>
      <c r="E116" s="3">
        <v>76.84</v>
      </c>
      <c r="F116" s="3">
        <v>75.14</v>
      </c>
      <c r="G116" s="3">
        <f t="shared" si="1"/>
        <v>76.84</v>
      </c>
      <c r="H116" s="3">
        <v>69.91</v>
      </c>
      <c r="I116" s="3">
        <v>218.92</v>
      </c>
      <c r="J116" s="3">
        <v>90</v>
      </c>
      <c r="K116" s="3">
        <v>14.1</v>
      </c>
      <c r="L116">
        <v>0.19239999999999999</v>
      </c>
      <c r="M116">
        <v>8</v>
      </c>
    </row>
    <row r="117" spans="1:13">
      <c r="A117" s="3">
        <v>2025</v>
      </c>
      <c r="B117" s="3" t="s">
        <v>11</v>
      </c>
      <c r="C117" s="3" t="s">
        <v>10</v>
      </c>
      <c r="D117" s="3">
        <v>10</v>
      </c>
      <c r="E117" s="3">
        <v>69.52</v>
      </c>
      <c r="F117" s="3">
        <v>71.92</v>
      </c>
      <c r="G117" s="3">
        <f t="shared" si="1"/>
        <v>71.92</v>
      </c>
      <c r="H117" s="3">
        <v>60.55</v>
      </c>
      <c r="I117" s="3">
        <v>165.43</v>
      </c>
      <c r="J117" s="3">
        <v>90</v>
      </c>
      <c r="K117" s="3">
        <v>14.4</v>
      </c>
      <c r="L117">
        <v>0.63429999999999997</v>
      </c>
      <c r="M117">
        <v>7</v>
      </c>
    </row>
    <row r="118" spans="1:13">
      <c r="A118" s="3">
        <v>2025</v>
      </c>
      <c r="B118" s="3" t="s">
        <v>11</v>
      </c>
      <c r="C118" s="3" t="s">
        <v>10</v>
      </c>
      <c r="D118" s="3">
        <v>11</v>
      </c>
      <c r="E118" s="3">
        <v>80.19</v>
      </c>
      <c r="F118" s="3">
        <v>78.650000000000006</v>
      </c>
      <c r="G118" s="3">
        <f t="shared" si="1"/>
        <v>80.19</v>
      </c>
      <c r="H118" s="3">
        <v>77.900000000000006</v>
      </c>
      <c r="I118" s="3">
        <v>245.36</v>
      </c>
      <c r="J118" s="3">
        <v>90</v>
      </c>
      <c r="K118" s="3">
        <v>13.5</v>
      </c>
      <c r="L118">
        <v>0.40510000000000002</v>
      </c>
      <c r="M118">
        <v>7</v>
      </c>
    </row>
    <row r="119" spans="1:13">
      <c r="A119" s="3">
        <v>2025</v>
      </c>
      <c r="B119" s="3" t="s">
        <v>11</v>
      </c>
      <c r="C119" s="3" t="s">
        <v>10</v>
      </c>
      <c r="D119" s="3">
        <v>12</v>
      </c>
      <c r="E119" s="3">
        <v>68.349999999999994</v>
      </c>
      <c r="F119" s="3">
        <v>70.930000000000007</v>
      </c>
      <c r="G119" s="3">
        <f t="shared" si="1"/>
        <v>70.930000000000007</v>
      </c>
      <c r="H119" s="3">
        <v>58.25</v>
      </c>
      <c r="I119" s="3">
        <v>147.9</v>
      </c>
      <c r="J119" s="3">
        <v>85</v>
      </c>
      <c r="K119" s="3">
        <v>15.9</v>
      </c>
      <c r="L119">
        <v>0.59940000000000004</v>
      </c>
      <c r="M119">
        <v>8</v>
      </c>
    </row>
    <row r="120" spans="1:13">
      <c r="A120" s="3">
        <v>2025</v>
      </c>
      <c r="B120" s="3" t="s">
        <v>11</v>
      </c>
      <c r="C120" s="3" t="s">
        <v>10</v>
      </c>
      <c r="D120" s="3">
        <v>13</v>
      </c>
      <c r="E120" s="3">
        <v>70.48</v>
      </c>
      <c r="F120" s="3">
        <v>70.06</v>
      </c>
      <c r="G120" s="3">
        <f t="shared" si="1"/>
        <v>70.48</v>
      </c>
      <c r="H120" s="3">
        <v>63.64</v>
      </c>
      <c r="I120" s="3">
        <v>168.66</v>
      </c>
      <c r="J120" s="3">
        <v>85</v>
      </c>
      <c r="K120" s="3">
        <v>15.8</v>
      </c>
      <c r="L120">
        <v>0.40820000000000001</v>
      </c>
      <c r="M120">
        <v>8</v>
      </c>
    </row>
    <row r="121" spans="1:13">
      <c r="A121" s="3">
        <v>2025</v>
      </c>
      <c r="B121" s="3" t="s">
        <v>11</v>
      </c>
      <c r="C121" s="3" t="s">
        <v>10</v>
      </c>
      <c r="D121" s="3">
        <v>14</v>
      </c>
      <c r="E121" s="3">
        <v>68.62</v>
      </c>
      <c r="F121" s="3">
        <v>66.34</v>
      </c>
      <c r="G121" s="3">
        <f t="shared" si="1"/>
        <v>68.62</v>
      </c>
      <c r="H121" s="3">
        <v>58.53</v>
      </c>
      <c r="I121" s="3">
        <v>145.97999999999999</v>
      </c>
      <c r="J121" s="3">
        <v>80</v>
      </c>
      <c r="K121" s="3">
        <v>13.2</v>
      </c>
      <c r="L121">
        <v>0.94030000000000002</v>
      </c>
      <c r="M121">
        <v>5</v>
      </c>
    </row>
    <row r="122" spans="1:13">
      <c r="A122" s="3">
        <v>2025</v>
      </c>
      <c r="B122" s="3" t="s">
        <v>11</v>
      </c>
      <c r="C122" s="3" t="s">
        <v>10</v>
      </c>
      <c r="D122" s="3">
        <v>15</v>
      </c>
      <c r="E122" s="3">
        <v>75.88</v>
      </c>
      <c r="F122" s="3">
        <v>75.739999999999995</v>
      </c>
      <c r="G122" s="3">
        <f t="shared" si="1"/>
        <v>75.88</v>
      </c>
      <c r="H122" s="3">
        <v>74.58</v>
      </c>
      <c r="I122" s="3">
        <v>242.65</v>
      </c>
      <c r="J122" s="3">
        <v>95</v>
      </c>
      <c r="K122" s="3">
        <v>14.2</v>
      </c>
      <c r="L122">
        <v>0.28839999999999999</v>
      </c>
      <c r="M122">
        <v>8</v>
      </c>
    </row>
    <row r="123" spans="1:13">
      <c r="A123" s="3">
        <v>2025</v>
      </c>
      <c r="B123" s="3" t="s">
        <v>11</v>
      </c>
      <c r="C123" s="3" t="s">
        <v>9</v>
      </c>
      <c r="D123" s="3">
        <v>1</v>
      </c>
      <c r="E123" s="3">
        <v>78.209999999999994</v>
      </c>
      <c r="F123" s="3">
        <v>78.680000000000007</v>
      </c>
      <c r="G123" s="3">
        <f t="shared" si="1"/>
        <v>78.680000000000007</v>
      </c>
      <c r="H123" s="3">
        <v>66.72</v>
      </c>
      <c r="I123" s="3">
        <v>216.04</v>
      </c>
      <c r="J123" s="3">
        <v>90</v>
      </c>
      <c r="K123" s="3">
        <v>14.8</v>
      </c>
      <c r="L123">
        <v>0.3891</v>
      </c>
      <c r="M123">
        <v>5</v>
      </c>
    </row>
    <row r="124" spans="1:13">
      <c r="A124" s="3">
        <v>2025</v>
      </c>
      <c r="B124" s="3" t="s">
        <v>11</v>
      </c>
      <c r="C124" s="3" t="s">
        <v>9</v>
      </c>
      <c r="D124" s="3">
        <v>2</v>
      </c>
      <c r="E124" s="3">
        <v>74.17</v>
      </c>
      <c r="F124" s="3">
        <v>74.36</v>
      </c>
      <c r="G124" s="3">
        <f t="shared" si="1"/>
        <v>74.36</v>
      </c>
      <c r="H124" s="3">
        <v>68.91</v>
      </c>
      <c r="I124" s="3">
        <v>205.53</v>
      </c>
      <c r="J124" s="3">
        <v>85</v>
      </c>
      <c r="K124" s="3">
        <v>15.1</v>
      </c>
      <c r="L124">
        <v>0.45929999999999999</v>
      </c>
      <c r="M124">
        <v>6</v>
      </c>
    </row>
    <row r="125" spans="1:13">
      <c r="A125" s="3">
        <v>2025</v>
      </c>
      <c r="B125" s="3" t="s">
        <v>11</v>
      </c>
      <c r="C125" s="3" t="s">
        <v>9</v>
      </c>
      <c r="D125" s="3">
        <v>3</v>
      </c>
      <c r="E125" s="3">
        <v>81.2</v>
      </c>
      <c r="F125" s="3">
        <v>76.209999999999994</v>
      </c>
      <c r="G125" s="3">
        <f t="shared" si="1"/>
        <v>81.2</v>
      </c>
      <c r="H125" s="3">
        <v>71.650000000000006</v>
      </c>
      <c r="I125" s="3">
        <v>229.06</v>
      </c>
      <c r="J125" s="3">
        <v>95</v>
      </c>
      <c r="K125" s="3">
        <v>14.9</v>
      </c>
      <c r="L125">
        <v>0.53259999999999996</v>
      </c>
      <c r="M125">
        <v>5</v>
      </c>
    </row>
    <row r="126" spans="1:13">
      <c r="A126" s="3">
        <v>2025</v>
      </c>
      <c r="B126" s="3" t="s">
        <v>11</v>
      </c>
      <c r="C126" s="3" t="s">
        <v>9</v>
      </c>
      <c r="D126" s="3">
        <v>4</v>
      </c>
      <c r="E126" s="3">
        <v>75.290000000000006</v>
      </c>
      <c r="F126" s="3">
        <v>71.45</v>
      </c>
      <c r="G126" s="3">
        <f t="shared" si="1"/>
        <v>75.290000000000006</v>
      </c>
      <c r="H126" s="3">
        <v>67.33</v>
      </c>
      <c r="I126" s="3">
        <v>193.16</v>
      </c>
      <c r="J126" s="3">
        <v>100</v>
      </c>
      <c r="K126" s="3">
        <v>16.399999999999999</v>
      </c>
      <c r="L126">
        <v>0.59189999999999998</v>
      </c>
      <c r="M126">
        <v>9</v>
      </c>
    </row>
    <row r="127" spans="1:13">
      <c r="A127" s="3">
        <v>2025</v>
      </c>
      <c r="B127" s="3" t="s">
        <v>11</v>
      </c>
      <c r="C127" s="3" t="s">
        <v>9</v>
      </c>
      <c r="D127" s="3">
        <v>5</v>
      </c>
      <c r="E127" s="3">
        <v>73.599999999999994</v>
      </c>
      <c r="F127" s="3">
        <v>72.81</v>
      </c>
      <c r="G127" s="3">
        <f t="shared" si="1"/>
        <v>73.599999999999994</v>
      </c>
      <c r="H127" s="3">
        <v>66.319999999999993</v>
      </c>
      <c r="I127" s="3">
        <v>180.45</v>
      </c>
      <c r="J127" s="3">
        <v>100</v>
      </c>
      <c r="K127" s="3">
        <v>15</v>
      </c>
      <c r="L127">
        <v>0.56889999999999996</v>
      </c>
      <c r="M127">
        <v>8</v>
      </c>
    </row>
    <row r="128" spans="1:13">
      <c r="A128" s="3">
        <v>2025</v>
      </c>
      <c r="B128" s="3" t="s">
        <v>11</v>
      </c>
      <c r="C128" s="3" t="s">
        <v>9</v>
      </c>
      <c r="D128" s="3">
        <v>6</v>
      </c>
      <c r="E128" s="3">
        <v>76.930000000000007</v>
      </c>
      <c r="F128" s="3">
        <v>77.36</v>
      </c>
      <c r="G128" s="3">
        <f t="shared" si="1"/>
        <v>77.36</v>
      </c>
      <c r="H128" s="3">
        <v>69.989999999999995</v>
      </c>
      <c r="I128" s="3">
        <v>212.4</v>
      </c>
      <c r="J128" s="3">
        <v>95</v>
      </c>
      <c r="K128" s="3">
        <v>14</v>
      </c>
      <c r="L128">
        <v>0.64800000000000002</v>
      </c>
      <c r="M128">
        <v>7</v>
      </c>
    </row>
    <row r="129" spans="1:13">
      <c r="A129" s="3">
        <v>2025</v>
      </c>
      <c r="B129" s="3" t="s">
        <v>11</v>
      </c>
      <c r="C129" s="3" t="s">
        <v>9</v>
      </c>
      <c r="D129" s="3">
        <v>7</v>
      </c>
      <c r="E129" s="3">
        <v>73.33</v>
      </c>
      <c r="F129" s="3">
        <v>73.94</v>
      </c>
      <c r="G129" s="3">
        <f t="shared" si="1"/>
        <v>73.94</v>
      </c>
      <c r="H129" s="3">
        <v>69.290000000000006</v>
      </c>
      <c r="I129" s="3">
        <v>194.15</v>
      </c>
      <c r="J129" s="3">
        <v>90</v>
      </c>
      <c r="K129" s="3">
        <v>13.6</v>
      </c>
      <c r="L129">
        <v>0.26640000000000003</v>
      </c>
      <c r="M129">
        <v>6</v>
      </c>
    </row>
    <row r="130" spans="1:13">
      <c r="A130" s="3">
        <v>2025</v>
      </c>
      <c r="B130" s="3" t="s">
        <v>11</v>
      </c>
      <c r="C130" s="3" t="s">
        <v>9</v>
      </c>
      <c r="D130" s="3">
        <v>8</v>
      </c>
      <c r="E130" s="3">
        <v>71.03</v>
      </c>
      <c r="F130" s="3">
        <v>74.34</v>
      </c>
      <c r="G130" s="3">
        <f t="shared" si="1"/>
        <v>74.34</v>
      </c>
      <c r="H130" s="3">
        <v>66.69</v>
      </c>
      <c r="I130" s="3">
        <v>201.66</v>
      </c>
      <c r="J130" s="3">
        <v>95</v>
      </c>
      <c r="K130" s="3">
        <v>15.2</v>
      </c>
      <c r="L130">
        <v>0.27679999999999999</v>
      </c>
      <c r="M130">
        <v>8</v>
      </c>
    </row>
    <row r="131" spans="1:13">
      <c r="A131" s="3">
        <v>2025</v>
      </c>
      <c r="B131" s="3" t="s">
        <v>11</v>
      </c>
      <c r="C131" s="3" t="s">
        <v>9</v>
      </c>
      <c r="D131" s="3">
        <v>9</v>
      </c>
      <c r="E131" s="3">
        <v>70.97</v>
      </c>
      <c r="F131" s="3">
        <v>70.489999999999995</v>
      </c>
      <c r="G131" s="3">
        <f t="shared" si="1"/>
        <v>70.97</v>
      </c>
      <c r="H131" s="3">
        <v>60.34</v>
      </c>
      <c r="I131" s="3">
        <v>170.1</v>
      </c>
      <c r="J131" s="3">
        <v>95</v>
      </c>
      <c r="K131" s="3">
        <v>15.2</v>
      </c>
      <c r="L131">
        <v>0.35930000000000001</v>
      </c>
      <c r="M131">
        <v>7</v>
      </c>
    </row>
    <row r="132" spans="1:13">
      <c r="A132" s="3">
        <v>2025</v>
      </c>
      <c r="B132" s="3" t="s">
        <v>11</v>
      </c>
      <c r="C132" s="3" t="s">
        <v>9</v>
      </c>
      <c r="D132" s="3">
        <v>10</v>
      </c>
      <c r="E132" s="3">
        <v>73.94</v>
      </c>
      <c r="F132" s="3">
        <v>74.19</v>
      </c>
      <c r="G132" s="3">
        <f t="shared" ref="G132:G195" si="2">MAX(E132:F132)</f>
        <v>74.19</v>
      </c>
      <c r="H132" s="3">
        <v>69.52</v>
      </c>
      <c r="I132" s="3">
        <v>202.95</v>
      </c>
      <c r="J132" s="3">
        <v>95</v>
      </c>
      <c r="K132" s="3">
        <v>15.7</v>
      </c>
      <c r="L132">
        <v>0.3705</v>
      </c>
      <c r="M132">
        <v>5</v>
      </c>
    </row>
    <row r="133" spans="1:13">
      <c r="A133" s="3">
        <v>2025</v>
      </c>
      <c r="B133" s="3" t="s">
        <v>11</v>
      </c>
      <c r="C133" s="3" t="s">
        <v>9</v>
      </c>
      <c r="D133" s="3">
        <v>11</v>
      </c>
      <c r="E133" s="3">
        <v>75.12</v>
      </c>
      <c r="F133" s="3">
        <v>75.400000000000006</v>
      </c>
      <c r="G133" s="3">
        <f t="shared" si="2"/>
        <v>75.400000000000006</v>
      </c>
      <c r="H133" s="3">
        <v>69.7</v>
      </c>
      <c r="I133" s="3">
        <v>220.58</v>
      </c>
      <c r="J133" s="3">
        <v>95</v>
      </c>
      <c r="K133" s="3">
        <v>16.899999999999999</v>
      </c>
      <c r="L133">
        <v>0.2324</v>
      </c>
      <c r="M133">
        <v>5</v>
      </c>
    </row>
    <row r="134" spans="1:13">
      <c r="A134" s="3">
        <v>2025</v>
      </c>
      <c r="B134" s="3" t="s">
        <v>11</v>
      </c>
      <c r="C134" s="3" t="s">
        <v>9</v>
      </c>
      <c r="D134" s="3">
        <v>12</v>
      </c>
      <c r="E134" s="3">
        <v>80.709999999999994</v>
      </c>
      <c r="F134" s="3">
        <v>80.42</v>
      </c>
      <c r="G134" s="3">
        <f t="shared" si="2"/>
        <v>80.709999999999994</v>
      </c>
      <c r="H134" s="3">
        <v>71.16</v>
      </c>
      <c r="I134" s="3">
        <v>239.05</v>
      </c>
      <c r="J134" s="3">
        <v>100</v>
      </c>
      <c r="K134" s="3">
        <v>16.399999999999999</v>
      </c>
      <c r="L134">
        <v>0.1143</v>
      </c>
      <c r="M134">
        <v>6</v>
      </c>
    </row>
    <row r="135" spans="1:13">
      <c r="A135" s="3">
        <v>2025</v>
      </c>
      <c r="B135" s="3" t="s">
        <v>11</v>
      </c>
      <c r="C135" s="3" t="s">
        <v>9</v>
      </c>
      <c r="D135" s="3">
        <v>13</v>
      </c>
      <c r="E135" s="3">
        <v>78.25</v>
      </c>
      <c r="F135" s="3">
        <v>76.88</v>
      </c>
      <c r="G135" s="3">
        <f t="shared" si="2"/>
        <v>78.25</v>
      </c>
      <c r="H135" s="3">
        <v>67.790000000000006</v>
      </c>
      <c r="I135" s="3">
        <v>205.56</v>
      </c>
      <c r="J135" s="3">
        <v>100</v>
      </c>
      <c r="K135" s="3">
        <v>13.4</v>
      </c>
      <c r="L135">
        <v>0.41299999999999998</v>
      </c>
      <c r="M135">
        <v>7</v>
      </c>
    </row>
    <row r="136" spans="1:13">
      <c r="A136" s="3">
        <v>2025</v>
      </c>
      <c r="B136" s="3" t="s">
        <v>11</v>
      </c>
      <c r="C136" s="3" t="s">
        <v>9</v>
      </c>
      <c r="D136" s="3">
        <v>14</v>
      </c>
      <c r="E136" s="3">
        <v>75.959999999999994</v>
      </c>
      <c r="F136" s="3">
        <v>76.55</v>
      </c>
      <c r="G136" s="3">
        <f t="shared" si="2"/>
        <v>76.55</v>
      </c>
      <c r="H136" s="3">
        <v>77.58</v>
      </c>
      <c r="I136" s="3">
        <v>232.11</v>
      </c>
      <c r="J136" s="3">
        <v>90</v>
      </c>
      <c r="K136" s="3">
        <v>15.6</v>
      </c>
      <c r="L136">
        <v>0.25269999999999998</v>
      </c>
      <c r="M136">
        <v>7</v>
      </c>
    </row>
    <row r="137" spans="1:13">
      <c r="A137" s="3">
        <v>2025</v>
      </c>
      <c r="B137" s="3" t="s">
        <v>11</v>
      </c>
      <c r="C137" s="3" t="s">
        <v>9</v>
      </c>
      <c r="D137" s="3">
        <v>15</v>
      </c>
      <c r="E137" s="3">
        <v>72.680000000000007</v>
      </c>
      <c r="F137" s="3">
        <v>72.739999999999995</v>
      </c>
      <c r="G137" s="3">
        <f t="shared" si="2"/>
        <v>72.739999999999995</v>
      </c>
      <c r="H137" s="3">
        <v>62.12</v>
      </c>
      <c r="I137" s="3">
        <v>187.89</v>
      </c>
      <c r="J137" s="3">
        <v>95</v>
      </c>
      <c r="K137" s="3">
        <v>12.8</v>
      </c>
      <c r="L137">
        <v>0.3735</v>
      </c>
      <c r="M137">
        <v>8</v>
      </c>
    </row>
    <row r="138" spans="1:13">
      <c r="A138" s="3">
        <v>2025</v>
      </c>
      <c r="B138" s="3" t="s">
        <v>11</v>
      </c>
      <c r="C138" s="3" t="s">
        <v>7</v>
      </c>
      <c r="D138" s="3">
        <v>1</v>
      </c>
      <c r="E138" s="3">
        <v>74.239999999999995</v>
      </c>
      <c r="F138" s="3">
        <v>71.87</v>
      </c>
      <c r="G138" s="3">
        <f t="shared" si="2"/>
        <v>74.239999999999995</v>
      </c>
      <c r="H138" s="3">
        <v>66.739999999999995</v>
      </c>
      <c r="I138" s="3">
        <v>178.95</v>
      </c>
      <c r="J138" s="3">
        <v>70</v>
      </c>
      <c r="K138" s="3">
        <v>12.8</v>
      </c>
      <c r="L138">
        <v>0.3594</v>
      </c>
      <c r="M138">
        <v>10</v>
      </c>
    </row>
    <row r="139" spans="1:13">
      <c r="A139" s="3">
        <v>2025</v>
      </c>
      <c r="B139" s="3" t="s">
        <v>11</v>
      </c>
      <c r="C139" s="3" t="s">
        <v>7</v>
      </c>
      <c r="D139" s="3">
        <v>2</v>
      </c>
      <c r="E139" s="3">
        <v>77.67</v>
      </c>
      <c r="F139" s="3">
        <v>77.34</v>
      </c>
      <c r="G139" s="3">
        <f t="shared" si="2"/>
        <v>77.67</v>
      </c>
      <c r="H139" s="3">
        <v>72.349999999999994</v>
      </c>
      <c r="I139" s="3">
        <v>221.53</v>
      </c>
      <c r="J139" s="3">
        <v>80</v>
      </c>
      <c r="K139" s="3">
        <v>18.8</v>
      </c>
      <c r="L139">
        <v>7.0000000000000007E-2</v>
      </c>
      <c r="M139">
        <v>10</v>
      </c>
    </row>
    <row r="140" spans="1:13">
      <c r="A140" s="3">
        <v>2025</v>
      </c>
      <c r="B140" s="3" t="s">
        <v>11</v>
      </c>
      <c r="C140" s="3" t="s">
        <v>7</v>
      </c>
      <c r="D140" s="3">
        <v>3</v>
      </c>
      <c r="E140" s="3">
        <v>74.67</v>
      </c>
      <c r="F140" s="3">
        <v>73.97</v>
      </c>
      <c r="G140" s="3">
        <f t="shared" si="2"/>
        <v>74.67</v>
      </c>
      <c r="H140" s="3">
        <v>66.45</v>
      </c>
      <c r="I140" s="3">
        <v>199.27</v>
      </c>
      <c r="J140" s="3">
        <v>80</v>
      </c>
      <c r="K140" s="3">
        <v>13.9</v>
      </c>
      <c r="L140">
        <v>0.55959999999999999</v>
      </c>
      <c r="M140">
        <v>7</v>
      </c>
    </row>
    <row r="141" spans="1:13">
      <c r="A141" s="3">
        <v>2025</v>
      </c>
      <c r="B141" s="3" t="s">
        <v>11</v>
      </c>
      <c r="C141" s="3" t="s">
        <v>7</v>
      </c>
      <c r="D141" s="3">
        <v>4</v>
      </c>
      <c r="E141" s="3">
        <v>77.989999999999995</v>
      </c>
      <c r="F141" s="3">
        <v>75.11</v>
      </c>
      <c r="G141" s="3">
        <f t="shared" si="2"/>
        <v>77.989999999999995</v>
      </c>
      <c r="H141" s="3">
        <v>66.84</v>
      </c>
      <c r="I141" s="3">
        <v>210.96</v>
      </c>
      <c r="J141" s="3">
        <v>70</v>
      </c>
      <c r="K141" s="3">
        <v>13.2</v>
      </c>
      <c r="L141">
        <v>0.52339999999999998</v>
      </c>
      <c r="M141">
        <v>8</v>
      </c>
    </row>
    <row r="142" spans="1:13">
      <c r="A142" s="3">
        <v>2025</v>
      </c>
      <c r="B142" s="3" t="s">
        <v>11</v>
      </c>
      <c r="C142" s="3" t="s">
        <v>7</v>
      </c>
      <c r="D142" s="3">
        <v>5</v>
      </c>
      <c r="E142" s="3">
        <v>72.38</v>
      </c>
      <c r="F142" s="3">
        <v>74.3</v>
      </c>
      <c r="G142" s="3">
        <f t="shared" si="2"/>
        <v>74.3</v>
      </c>
      <c r="H142" s="3">
        <v>67.22</v>
      </c>
      <c r="I142" s="3">
        <v>195.42</v>
      </c>
      <c r="J142" s="3">
        <v>60</v>
      </c>
      <c r="K142" s="3">
        <v>14.4</v>
      </c>
      <c r="L142">
        <v>0.29070000000000001</v>
      </c>
      <c r="M142">
        <v>9</v>
      </c>
    </row>
    <row r="143" spans="1:13">
      <c r="A143" s="3">
        <v>2025</v>
      </c>
      <c r="B143" s="3" t="s">
        <v>11</v>
      </c>
      <c r="C143" s="3" t="s">
        <v>7</v>
      </c>
      <c r="D143" s="3">
        <v>6</v>
      </c>
      <c r="E143" s="3">
        <v>73.81</v>
      </c>
      <c r="F143" s="3">
        <v>78.06</v>
      </c>
      <c r="G143" s="3">
        <f t="shared" si="2"/>
        <v>78.06</v>
      </c>
      <c r="H143" s="3">
        <v>66.23</v>
      </c>
      <c r="I143" s="3">
        <v>202.92</v>
      </c>
      <c r="J143" s="3">
        <v>60</v>
      </c>
      <c r="K143" s="3">
        <v>14</v>
      </c>
      <c r="L143">
        <v>0.81910000000000005</v>
      </c>
      <c r="M143">
        <v>7</v>
      </c>
    </row>
    <row r="144" spans="1:13">
      <c r="A144" s="3">
        <v>2025</v>
      </c>
      <c r="B144" s="3" t="s">
        <v>11</v>
      </c>
      <c r="C144" s="3" t="s">
        <v>7</v>
      </c>
      <c r="D144" s="3">
        <v>7</v>
      </c>
      <c r="E144" s="3">
        <v>77.08</v>
      </c>
      <c r="F144" s="3">
        <v>74.959999999999994</v>
      </c>
      <c r="G144" s="3">
        <f t="shared" si="2"/>
        <v>77.08</v>
      </c>
      <c r="H144" s="3">
        <v>59.42</v>
      </c>
      <c r="I144" s="3">
        <v>196.45</v>
      </c>
      <c r="J144" s="3">
        <v>60</v>
      </c>
      <c r="K144" s="3">
        <v>13.4</v>
      </c>
      <c r="L144">
        <v>0.80989999999999995</v>
      </c>
      <c r="M144">
        <v>6</v>
      </c>
    </row>
    <row r="145" spans="1:13">
      <c r="A145" s="3">
        <v>2025</v>
      </c>
      <c r="B145" s="3" t="s">
        <v>11</v>
      </c>
      <c r="C145" s="3" t="s">
        <v>7</v>
      </c>
      <c r="D145" s="3">
        <v>8</v>
      </c>
      <c r="E145" s="3">
        <v>74.19</v>
      </c>
      <c r="F145" s="3">
        <v>71.39</v>
      </c>
      <c r="G145" s="3">
        <f t="shared" si="2"/>
        <v>74.19</v>
      </c>
      <c r="H145" s="3">
        <v>66.959999999999994</v>
      </c>
      <c r="I145" s="3">
        <v>185.19</v>
      </c>
      <c r="J145" s="3">
        <v>80</v>
      </c>
      <c r="K145" s="3">
        <v>14.7</v>
      </c>
      <c r="L145">
        <v>0.28410000000000002</v>
      </c>
      <c r="M145">
        <v>9</v>
      </c>
    </row>
    <row r="146" spans="1:13">
      <c r="A146" s="3">
        <v>2025</v>
      </c>
      <c r="B146" s="3" t="s">
        <v>11</v>
      </c>
      <c r="C146" s="3" t="s">
        <v>7</v>
      </c>
      <c r="D146" s="3">
        <v>9</v>
      </c>
      <c r="E146" s="3">
        <v>78.78</v>
      </c>
      <c r="F146" s="3">
        <v>77.36</v>
      </c>
      <c r="G146" s="3">
        <f t="shared" si="2"/>
        <v>78.78</v>
      </c>
      <c r="H146" s="3">
        <v>70.599999999999994</v>
      </c>
      <c r="I146" s="3">
        <v>229.23</v>
      </c>
      <c r="J146" s="3">
        <v>55</v>
      </c>
      <c r="K146" s="3">
        <v>15.2</v>
      </c>
      <c r="L146">
        <v>9.5000000000000001E-2</v>
      </c>
      <c r="M146">
        <v>9</v>
      </c>
    </row>
    <row r="147" spans="1:13">
      <c r="A147" s="3">
        <v>2025</v>
      </c>
      <c r="B147" s="3" t="s">
        <v>11</v>
      </c>
      <c r="C147" s="3" t="s">
        <v>7</v>
      </c>
      <c r="D147" s="3">
        <v>10</v>
      </c>
      <c r="E147" s="3">
        <v>81.94</v>
      </c>
      <c r="F147" s="3">
        <v>79.23</v>
      </c>
      <c r="G147" s="3">
        <f t="shared" si="2"/>
        <v>81.94</v>
      </c>
      <c r="H147" s="3">
        <v>79.22</v>
      </c>
      <c r="I147" s="3">
        <v>252.1</v>
      </c>
      <c r="J147" s="3">
        <v>80</v>
      </c>
      <c r="K147" s="3">
        <v>14.2</v>
      </c>
      <c r="L147">
        <v>0.38159999999999999</v>
      </c>
      <c r="M147">
        <v>10</v>
      </c>
    </row>
    <row r="148" spans="1:13">
      <c r="A148" s="3">
        <v>2025</v>
      </c>
      <c r="B148" s="3" t="s">
        <v>11</v>
      </c>
      <c r="C148" s="3" t="s">
        <v>7</v>
      </c>
      <c r="D148" s="3">
        <v>11</v>
      </c>
      <c r="E148" s="3">
        <v>74.23</v>
      </c>
      <c r="F148" s="3">
        <v>71.459999999999994</v>
      </c>
      <c r="G148" s="3">
        <f t="shared" si="2"/>
        <v>74.23</v>
      </c>
      <c r="H148" s="3">
        <v>64.81</v>
      </c>
      <c r="I148" s="3">
        <v>180.32</v>
      </c>
      <c r="J148" s="3">
        <v>60</v>
      </c>
      <c r="K148" s="3">
        <v>13.4</v>
      </c>
      <c r="L148">
        <v>0.42280000000000001</v>
      </c>
      <c r="M148">
        <v>8</v>
      </c>
    </row>
    <row r="149" spans="1:13">
      <c r="A149" s="3">
        <v>2025</v>
      </c>
      <c r="B149" s="3" t="s">
        <v>11</v>
      </c>
      <c r="C149" s="3" t="s">
        <v>7</v>
      </c>
      <c r="D149" s="3">
        <v>12</v>
      </c>
      <c r="E149" s="3">
        <v>77.11</v>
      </c>
      <c r="F149" s="3">
        <v>76.599999999999994</v>
      </c>
      <c r="G149" s="3">
        <f t="shared" si="2"/>
        <v>77.11</v>
      </c>
      <c r="H149" s="3">
        <v>73.83</v>
      </c>
      <c r="I149" s="3">
        <v>214.03</v>
      </c>
      <c r="J149" s="3">
        <v>60</v>
      </c>
      <c r="K149" s="3">
        <v>16.100000000000001</v>
      </c>
      <c r="L149">
        <v>0.15409999999999999</v>
      </c>
      <c r="M149">
        <v>10</v>
      </c>
    </row>
    <row r="150" spans="1:13">
      <c r="A150" s="3">
        <v>2025</v>
      </c>
      <c r="B150" s="3" t="s">
        <v>11</v>
      </c>
      <c r="C150" s="3" t="s">
        <v>7</v>
      </c>
      <c r="D150" s="3">
        <v>13</v>
      </c>
      <c r="E150" s="3">
        <v>73.87</v>
      </c>
      <c r="F150" s="3">
        <v>77.19</v>
      </c>
      <c r="G150" s="3">
        <f t="shared" si="2"/>
        <v>77.19</v>
      </c>
      <c r="H150" s="3">
        <v>67.31</v>
      </c>
      <c r="I150" s="3">
        <v>204.33</v>
      </c>
      <c r="J150" s="3">
        <v>75</v>
      </c>
      <c r="K150" s="3">
        <v>15.6</v>
      </c>
      <c r="L150">
        <v>0.1888</v>
      </c>
      <c r="M150">
        <v>10</v>
      </c>
    </row>
    <row r="151" spans="1:13">
      <c r="A151" s="3">
        <v>2025</v>
      </c>
      <c r="B151" s="3" t="s">
        <v>11</v>
      </c>
      <c r="C151" s="3" t="s">
        <v>7</v>
      </c>
      <c r="D151" s="3">
        <v>14</v>
      </c>
      <c r="E151" s="3">
        <v>74.56</v>
      </c>
      <c r="F151" s="3">
        <v>74.64</v>
      </c>
      <c r="G151" s="3">
        <f t="shared" si="2"/>
        <v>74.64</v>
      </c>
      <c r="H151" s="3">
        <v>62.88</v>
      </c>
      <c r="I151" s="3">
        <v>190.05</v>
      </c>
      <c r="J151" s="3">
        <v>75</v>
      </c>
      <c r="K151" s="3">
        <v>14.1</v>
      </c>
      <c r="L151">
        <v>0.57179999999999997</v>
      </c>
      <c r="M151">
        <v>5</v>
      </c>
    </row>
    <row r="152" spans="1:13">
      <c r="A152" s="3">
        <v>2025</v>
      </c>
      <c r="B152" s="3" t="s">
        <v>11</v>
      </c>
      <c r="C152" s="3" t="s">
        <v>7</v>
      </c>
      <c r="D152" s="3">
        <v>15</v>
      </c>
      <c r="E152" s="3">
        <v>78.16</v>
      </c>
      <c r="F152" s="3">
        <v>76.41</v>
      </c>
      <c r="G152" s="3">
        <f t="shared" si="2"/>
        <v>78.16</v>
      </c>
      <c r="H152" s="3">
        <v>70.62</v>
      </c>
      <c r="I152" s="3">
        <v>216.78</v>
      </c>
      <c r="J152" s="3">
        <v>70</v>
      </c>
      <c r="K152" s="3">
        <v>13.7</v>
      </c>
      <c r="L152">
        <v>0.25230000000000002</v>
      </c>
      <c r="M152">
        <v>9</v>
      </c>
    </row>
    <row r="153" spans="1:13">
      <c r="A153" s="3">
        <v>2025</v>
      </c>
      <c r="B153" s="3" t="s">
        <v>5</v>
      </c>
      <c r="C153" s="3" t="s">
        <v>9</v>
      </c>
      <c r="D153" s="3">
        <v>1</v>
      </c>
      <c r="E153" s="3">
        <v>71.41</v>
      </c>
      <c r="F153" s="3">
        <v>70.849999999999994</v>
      </c>
      <c r="G153" s="3">
        <f t="shared" si="2"/>
        <v>71.41</v>
      </c>
      <c r="H153" s="3">
        <v>60.57</v>
      </c>
      <c r="I153" s="3">
        <v>153.77000000000001</v>
      </c>
      <c r="J153" s="3">
        <v>90</v>
      </c>
      <c r="K153" s="3">
        <v>12.2</v>
      </c>
      <c r="L153">
        <v>1.002</v>
      </c>
      <c r="M153">
        <v>2</v>
      </c>
    </row>
    <row r="154" spans="1:13">
      <c r="A154" s="3">
        <v>2025</v>
      </c>
      <c r="B154" s="3" t="s">
        <v>5</v>
      </c>
      <c r="C154" s="3" t="s">
        <v>9</v>
      </c>
      <c r="D154" s="3">
        <v>2</v>
      </c>
      <c r="E154" s="3">
        <v>67.739999999999995</v>
      </c>
      <c r="F154" s="3">
        <v>70.849999999999994</v>
      </c>
      <c r="G154" s="3">
        <f t="shared" si="2"/>
        <v>70.849999999999994</v>
      </c>
      <c r="H154" s="3">
        <v>55.88</v>
      </c>
      <c r="I154" s="3">
        <v>144.63</v>
      </c>
      <c r="J154" s="3">
        <v>90</v>
      </c>
      <c r="K154" s="3">
        <v>13.9</v>
      </c>
      <c r="L154">
        <v>0.88570000000000004</v>
      </c>
      <c r="M154">
        <v>2</v>
      </c>
    </row>
    <row r="155" spans="1:13">
      <c r="A155" s="3">
        <v>2025</v>
      </c>
      <c r="B155" s="3" t="s">
        <v>5</v>
      </c>
      <c r="C155" s="3" t="s">
        <v>9</v>
      </c>
      <c r="D155" s="3">
        <v>3</v>
      </c>
      <c r="E155" s="3">
        <v>74.86</v>
      </c>
      <c r="F155" s="3">
        <v>71.12</v>
      </c>
      <c r="G155" s="3">
        <f t="shared" si="2"/>
        <v>74.86</v>
      </c>
      <c r="H155" s="3">
        <v>64.77</v>
      </c>
      <c r="I155" s="3">
        <v>172.29</v>
      </c>
      <c r="J155" s="3">
        <v>75</v>
      </c>
      <c r="K155" s="3">
        <v>12.6</v>
      </c>
      <c r="L155">
        <v>0.72399999999999998</v>
      </c>
      <c r="M155">
        <v>2</v>
      </c>
    </row>
    <row r="156" spans="1:13">
      <c r="A156" s="3">
        <v>2025</v>
      </c>
      <c r="B156" s="3" t="s">
        <v>5</v>
      </c>
      <c r="C156" s="3" t="s">
        <v>9</v>
      </c>
      <c r="D156" s="3">
        <v>4</v>
      </c>
      <c r="E156" s="3">
        <v>71.989999999999995</v>
      </c>
      <c r="F156" s="3">
        <v>74.459999999999994</v>
      </c>
      <c r="G156" s="3">
        <f t="shared" si="2"/>
        <v>74.459999999999994</v>
      </c>
      <c r="H156" s="3">
        <v>67.75</v>
      </c>
      <c r="I156" s="3">
        <v>183.61</v>
      </c>
      <c r="J156" s="3">
        <v>75</v>
      </c>
      <c r="K156" s="3">
        <v>12</v>
      </c>
      <c r="L156">
        <v>0.86280000000000001</v>
      </c>
      <c r="M156">
        <v>3</v>
      </c>
    </row>
    <row r="157" spans="1:13">
      <c r="A157" s="3">
        <v>2025</v>
      </c>
      <c r="B157" s="3" t="s">
        <v>5</v>
      </c>
      <c r="C157" s="3" t="s">
        <v>9</v>
      </c>
      <c r="D157" s="3">
        <v>5</v>
      </c>
      <c r="E157" s="3">
        <v>70.180000000000007</v>
      </c>
      <c r="F157" s="3">
        <v>72.510000000000005</v>
      </c>
      <c r="G157" s="3">
        <f t="shared" si="2"/>
        <v>72.510000000000005</v>
      </c>
      <c r="H157" s="3">
        <v>65.430000000000007</v>
      </c>
      <c r="I157" s="3">
        <v>165.62</v>
      </c>
      <c r="J157" s="3">
        <v>85</v>
      </c>
      <c r="K157" s="3">
        <v>13.6</v>
      </c>
      <c r="L157">
        <v>0.44319999999999998</v>
      </c>
      <c r="M157">
        <v>6</v>
      </c>
    </row>
    <row r="158" spans="1:13">
      <c r="A158" s="3">
        <v>2025</v>
      </c>
      <c r="B158" s="3" t="s">
        <v>5</v>
      </c>
      <c r="C158" s="3" t="s">
        <v>9</v>
      </c>
      <c r="D158" s="3">
        <v>6</v>
      </c>
      <c r="E158" s="3">
        <v>64.14</v>
      </c>
      <c r="F158" s="3">
        <v>64.05</v>
      </c>
      <c r="G158" s="3">
        <f t="shared" si="2"/>
        <v>64.14</v>
      </c>
      <c r="H158" s="3">
        <v>50.24</v>
      </c>
      <c r="I158" s="3">
        <v>114.16</v>
      </c>
      <c r="J158" s="3">
        <v>80</v>
      </c>
      <c r="K158" s="3">
        <v>12.4</v>
      </c>
      <c r="L158">
        <v>1.1240000000000001</v>
      </c>
      <c r="M158">
        <v>2</v>
      </c>
    </row>
    <row r="159" spans="1:13">
      <c r="A159" s="3">
        <v>2025</v>
      </c>
      <c r="B159" s="3" t="s">
        <v>5</v>
      </c>
      <c r="C159" s="3" t="s">
        <v>9</v>
      </c>
      <c r="D159" s="3">
        <v>7</v>
      </c>
      <c r="E159" s="3">
        <v>70.63</v>
      </c>
      <c r="F159" s="3">
        <v>68.69</v>
      </c>
      <c r="G159" s="3">
        <f t="shared" si="2"/>
        <v>70.63</v>
      </c>
      <c r="H159" s="3">
        <v>60.64</v>
      </c>
      <c r="I159" s="3">
        <v>163.85</v>
      </c>
      <c r="J159" s="3">
        <v>95</v>
      </c>
      <c r="K159" s="3">
        <v>14.9</v>
      </c>
      <c r="L159">
        <v>0.29520000000000002</v>
      </c>
      <c r="M159">
        <v>7</v>
      </c>
    </row>
    <row r="160" spans="1:13">
      <c r="A160" s="3">
        <v>2025</v>
      </c>
      <c r="B160" s="3" t="s">
        <v>5</v>
      </c>
      <c r="C160" s="3" t="s">
        <v>9</v>
      </c>
      <c r="D160" s="3">
        <v>8</v>
      </c>
      <c r="E160" s="3">
        <v>70.739999999999995</v>
      </c>
      <c r="F160" s="3">
        <v>67.06</v>
      </c>
      <c r="G160" s="3">
        <f t="shared" si="2"/>
        <v>70.739999999999995</v>
      </c>
      <c r="H160" s="3">
        <v>61.67</v>
      </c>
      <c r="I160" s="3">
        <v>157.99</v>
      </c>
      <c r="J160" s="3">
        <v>75</v>
      </c>
      <c r="K160" s="3">
        <v>13.2</v>
      </c>
      <c r="L160">
        <v>1.111</v>
      </c>
      <c r="M160">
        <v>5</v>
      </c>
    </row>
    <row r="161" spans="1:13">
      <c r="A161" s="3">
        <v>2025</v>
      </c>
      <c r="B161" s="3" t="s">
        <v>5</v>
      </c>
      <c r="C161" s="3" t="s">
        <v>9</v>
      </c>
      <c r="D161" s="3">
        <v>9</v>
      </c>
      <c r="E161" s="3">
        <v>71.08</v>
      </c>
      <c r="F161" s="3">
        <v>68.31</v>
      </c>
      <c r="G161" s="3">
        <f t="shared" si="2"/>
        <v>71.08</v>
      </c>
      <c r="H161" s="3">
        <v>64.16</v>
      </c>
      <c r="I161" s="3">
        <v>161.66</v>
      </c>
      <c r="J161" s="3">
        <v>95</v>
      </c>
      <c r="K161" s="3">
        <v>15.5</v>
      </c>
      <c r="L161">
        <v>0.70920000000000005</v>
      </c>
      <c r="M161">
        <v>5</v>
      </c>
    </row>
    <row r="162" spans="1:13">
      <c r="A162" s="3">
        <v>2025</v>
      </c>
      <c r="B162" s="3" t="s">
        <v>5</v>
      </c>
      <c r="C162" s="3" t="s">
        <v>9</v>
      </c>
      <c r="D162" s="3">
        <v>10</v>
      </c>
      <c r="E162" s="3">
        <v>68.77</v>
      </c>
      <c r="F162" s="3">
        <v>70.06</v>
      </c>
      <c r="G162" s="3">
        <f t="shared" si="2"/>
        <v>70.06</v>
      </c>
      <c r="H162" s="3">
        <v>56.14</v>
      </c>
      <c r="I162" s="3">
        <v>151.96</v>
      </c>
      <c r="J162" s="3">
        <v>85</v>
      </c>
      <c r="K162" s="3">
        <v>15</v>
      </c>
      <c r="L162">
        <v>0.3876</v>
      </c>
      <c r="M162">
        <v>4</v>
      </c>
    </row>
    <row r="163" spans="1:13">
      <c r="A163" s="3">
        <v>2025</v>
      </c>
      <c r="B163" s="3" t="s">
        <v>5</v>
      </c>
      <c r="C163" s="3" t="s">
        <v>9</v>
      </c>
      <c r="D163" s="3">
        <v>11</v>
      </c>
      <c r="E163" s="3">
        <v>69.19</v>
      </c>
      <c r="F163" s="3">
        <v>67.709999999999994</v>
      </c>
      <c r="G163" s="3">
        <f t="shared" si="2"/>
        <v>69.19</v>
      </c>
      <c r="H163" s="3">
        <v>60.91</v>
      </c>
      <c r="I163" s="3">
        <v>146.80000000000001</v>
      </c>
      <c r="J163" s="3">
        <v>70</v>
      </c>
      <c r="K163" s="3">
        <v>13</v>
      </c>
      <c r="L163">
        <v>1.4330000000000001</v>
      </c>
      <c r="M163">
        <v>3</v>
      </c>
    </row>
    <row r="164" spans="1:13">
      <c r="A164" s="3">
        <v>2025</v>
      </c>
      <c r="B164" s="3" t="s">
        <v>5</v>
      </c>
      <c r="C164" s="3" t="s">
        <v>9</v>
      </c>
      <c r="D164" s="3">
        <v>12</v>
      </c>
      <c r="E164" s="3">
        <v>66.87</v>
      </c>
      <c r="F164" s="3">
        <v>66.489999999999995</v>
      </c>
      <c r="G164" s="3">
        <f t="shared" si="2"/>
        <v>66.87</v>
      </c>
      <c r="H164" s="3">
        <v>59.88</v>
      </c>
      <c r="I164" s="3">
        <v>138.38</v>
      </c>
      <c r="J164" s="3">
        <v>80</v>
      </c>
      <c r="K164" s="3">
        <v>12</v>
      </c>
      <c r="L164">
        <v>1.304</v>
      </c>
      <c r="M164">
        <v>3</v>
      </c>
    </row>
    <row r="165" spans="1:13">
      <c r="A165" s="3">
        <v>2025</v>
      </c>
      <c r="B165" s="3" t="s">
        <v>5</v>
      </c>
      <c r="C165" s="3" t="s">
        <v>9</v>
      </c>
      <c r="D165" s="3">
        <v>13</v>
      </c>
      <c r="E165" s="3">
        <v>73.400000000000006</v>
      </c>
      <c r="F165" s="3">
        <v>73.58</v>
      </c>
      <c r="G165" s="3">
        <f t="shared" si="2"/>
        <v>73.58</v>
      </c>
      <c r="H165" s="3">
        <v>71.42</v>
      </c>
      <c r="I165" s="3">
        <v>190.87</v>
      </c>
      <c r="J165" s="3">
        <v>80</v>
      </c>
      <c r="K165" s="3">
        <v>13</v>
      </c>
      <c r="L165">
        <v>1.0229999999999999</v>
      </c>
      <c r="M165">
        <v>3</v>
      </c>
    </row>
    <row r="166" spans="1:13">
      <c r="A166" s="3">
        <v>2025</v>
      </c>
      <c r="B166" s="3" t="s">
        <v>5</v>
      </c>
      <c r="C166" s="3" t="s">
        <v>9</v>
      </c>
      <c r="D166" s="3">
        <v>14</v>
      </c>
      <c r="E166" s="3">
        <v>67.540000000000006</v>
      </c>
      <c r="F166" s="3">
        <v>68.36</v>
      </c>
      <c r="G166" s="3">
        <f t="shared" si="2"/>
        <v>68.36</v>
      </c>
      <c r="H166" s="3">
        <v>62.8</v>
      </c>
      <c r="I166" s="3">
        <v>156.58000000000001</v>
      </c>
      <c r="J166" s="3">
        <v>85</v>
      </c>
      <c r="K166" s="3">
        <v>12.9</v>
      </c>
      <c r="L166">
        <v>0.78210000000000002</v>
      </c>
      <c r="M166">
        <v>6</v>
      </c>
    </row>
    <row r="167" spans="1:13">
      <c r="A167" s="3">
        <v>2025</v>
      </c>
      <c r="B167" s="3" t="s">
        <v>5</v>
      </c>
      <c r="C167" s="3" t="s">
        <v>9</v>
      </c>
      <c r="D167" s="3">
        <v>15</v>
      </c>
      <c r="E167" s="3">
        <v>68.73</v>
      </c>
      <c r="F167" s="3">
        <v>70.22</v>
      </c>
      <c r="G167" s="3">
        <f t="shared" si="2"/>
        <v>70.22</v>
      </c>
      <c r="H167" s="3">
        <v>60.91</v>
      </c>
      <c r="I167" s="3">
        <v>162.6</v>
      </c>
      <c r="J167" s="3">
        <v>80</v>
      </c>
      <c r="K167" s="3">
        <v>12.5</v>
      </c>
      <c r="L167">
        <v>1.19</v>
      </c>
      <c r="M167">
        <v>5</v>
      </c>
    </row>
    <row r="168" spans="1:13">
      <c r="A168" s="3">
        <v>2025</v>
      </c>
      <c r="B168" s="3" t="s">
        <v>5</v>
      </c>
      <c r="C168" s="3" t="s">
        <v>10</v>
      </c>
      <c r="D168" s="3">
        <v>1</v>
      </c>
      <c r="E168" s="3">
        <v>78.010000000000005</v>
      </c>
      <c r="F168" s="3">
        <v>74.37</v>
      </c>
      <c r="G168" s="3">
        <f t="shared" si="2"/>
        <v>78.010000000000005</v>
      </c>
      <c r="H168" s="3">
        <v>68.38</v>
      </c>
      <c r="I168" s="3">
        <v>214.88</v>
      </c>
      <c r="J168" s="3">
        <v>95</v>
      </c>
      <c r="K168" s="3">
        <v>14.4</v>
      </c>
      <c r="L168">
        <v>0.70020000000000004</v>
      </c>
      <c r="M168">
        <v>6</v>
      </c>
    </row>
    <row r="169" spans="1:13">
      <c r="A169" s="3">
        <v>2025</v>
      </c>
      <c r="B169" s="3" t="s">
        <v>5</v>
      </c>
      <c r="C169" s="3" t="s">
        <v>10</v>
      </c>
      <c r="D169" s="3">
        <v>2</v>
      </c>
      <c r="E169" s="3">
        <v>77.97</v>
      </c>
      <c r="F169" s="3">
        <v>74.099999999999994</v>
      </c>
      <c r="G169" s="3">
        <f t="shared" si="2"/>
        <v>77.97</v>
      </c>
      <c r="H169" s="3">
        <v>74.06</v>
      </c>
      <c r="I169" s="3">
        <v>218.12</v>
      </c>
      <c r="J169" s="3">
        <v>80</v>
      </c>
      <c r="K169" s="3">
        <v>13.3</v>
      </c>
      <c r="L169">
        <v>0.2049</v>
      </c>
      <c r="M169">
        <v>7</v>
      </c>
    </row>
    <row r="170" spans="1:13">
      <c r="A170" s="3">
        <v>2025</v>
      </c>
      <c r="B170" s="3" t="s">
        <v>5</v>
      </c>
      <c r="C170" s="3" t="s">
        <v>10</v>
      </c>
      <c r="D170" s="3">
        <v>3</v>
      </c>
      <c r="E170" s="3">
        <v>75.599999999999994</v>
      </c>
      <c r="F170" s="3">
        <v>74.180000000000007</v>
      </c>
      <c r="G170" s="3">
        <f t="shared" si="2"/>
        <v>75.599999999999994</v>
      </c>
      <c r="H170" s="3">
        <v>71.61</v>
      </c>
      <c r="I170" s="3">
        <v>203.19</v>
      </c>
      <c r="J170" s="3">
        <v>80</v>
      </c>
      <c r="K170" s="3">
        <v>14.9</v>
      </c>
      <c r="L170">
        <v>0.217</v>
      </c>
      <c r="M170">
        <v>7</v>
      </c>
    </row>
    <row r="171" spans="1:13">
      <c r="A171" s="3">
        <v>2025</v>
      </c>
      <c r="B171" s="3" t="s">
        <v>5</v>
      </c>
      <c r="C171" s="3" t="s">
        <v>10</v>
      </c>
      <c r="D171" s="3">
        <v>4</v>
      </c>
      <c r="E171" s="3">
        <v>71.89</v>
      </c>
      <c r="F171" s="3">
        <v>72.78</v>
      </c>
      <c r="G171" s="3">
        <f t="shared" si="2"/>
        <v>72.78</v>
      </c>
      <c r="H171" s="3">
        <v>72.45</v>
      </c>
      <c r="I171" s="3">
        <v>196.35</v>
      </c>
      <c r="J171" s="3">
        <v>95</v>
      </c>
      <c r="K171" s="3">
        <v>15.9</v>
      </c>
      <c r="L171">
        <v>0.44690000000000002</v>
      </c>
      <c r="M171">
        <v>9</v>
      </c>
    </row>
    <row r="172" spans="1:13">
      <c r="A172" s="3">
        <v>2025</v>
      </c>
      <c r="B172" s="3" t="s">
        <v>5</v>
      </c>
      <c r="C172" s="3" t="s">
        <v>10</v>
      </c>
      <c r="D172" s="3">
        <v>5</v>
      </c>
      <c r="E172" s="3">
        <v>75.88</v>
      </c>
      <c r="F172" s="3">
        <v>73.05</v>
      </c>
      <c r="G172" s="3">
        <f t="shared" si="2"/>
        <v>75.88</v>
      </c>
      <c r="H172" s="3">
        <v>67.64</v>
      </c>
      <c r="I172" s="3">
        <v>199.42</v>
      </c>
      <c r="J172" s="3">
        <v>75</v>
      </c>
      <c r="K172" s="3">
        <v>14.7</v>
      </c>
      <c r="L172">
        <v>0.1835</v>
      </c>
      <c r="M172">
        <v>8</v>
      </c>
    </row>
    <row r="173" spans="1:13">
      <c r="A173" s="3">
        <v>2025</v>
      </c>
      <c r="B173" s="3" t="s">
        <v>5</v>
      </c>
      <c r="C173" s="3" t="s">
        <v>10</v>
      </c>
      <c r="D173" s="3">
        <v>6</v>
      </c>
      <c r="E173" s="3">
        <v>73.900000000000006</v>
      </c>
      <c r="F173" s="3">
        <v>75.19</v>
      </c>
      <c r="G173" s="3">
        <f t="shared" si="2"/>
        <v>75.19</v>
      </c>
      <c r="H173" s="3">
        <v>75.62</v>
      </c>
      <c r="I173" s="3">
        <v>207.51</v>
      </c>
      <c r="J173" s="3">
        <v>80</v>
      </c>
      <c r="K173" s="3">
        <v>15.5</v>
      </c>
      <c r="L173">
        <v>0.20330000000000001</v>
      </c>
      <c r="M173">
        <v>8</v>
      </c>
    </row>
    <row r="174" spans="1:13">
      <c r="A174" s="3">
        <v>2025</v>
      </c>
      <c r="B174" s="3" t="s">
        <v>5</v>
      </c>
      <c r="C174" s="3" t="s">
        <v>10</v>
      </c>
      <c r="D174" s="3">
        <v>7</v>
      </c>
      <c r="E174" s="3">
        <v>79.989999999999995</v>
      </c>
      <c r="F174" s="3">
        <v>82.63</v>
      </c>
      <c r="G174" s="3">
        <f t="shared" si="2"/>
        <v>82.63</v>
      </c>
      <c r="H174" s="3">
        <v>73.22</v>
      </c>
      <c r="I174" s="3">
        <v>255.19</v>
      </c>
      <c r="J174" s="3">
        <v>80</v>
      </c>
      <c r="K174" s="3">
        <v>13.1</v>
      </c>
      <c r="L174">
        <v>0.4945</v>
      </c>
      <c r="M174">
        <v>7</v>
      </c>
    </row>
    <row r="175" spans="1:13">
      <c r="A175" s="3">
        <v>2025</v>
      </c>
      <c r="B175" s="3" t="s">
        <v>5</v>
      </c>
      <c r="C175" s="3" t="s">
        <v>10</v>
      </c>
      <c r="D175" s="3">
        <v>8</v>
      </c>
      <c r="E175" s="3">
        <v>71.77</v>
      </c>
      <c r="F175" s="3">
        <v>71.400000000000006</v>
      </c>
      <c r="G175" s="3">
        <f t="shared" si="2"/>
        <v>71.77</v>
      </c>
      <c r="H175" s="3">
        <v>55.54</v>
      </c>
      <c r="I175" s="3">
        <v>156.81</v>
      </c>
      <c r="J175" s="3">
        <v>85</v>
      </c>
      <c r="K175" s="3">
        <v>13.3</v>
      </c>
      <c r="L175">
        <v>1.07</v>
      </c>
      <c r="M175">
        <v>5</v>
      </c>
    </row>
    <row r="176" spans="1:13">
      <c r="A176" s="3">
        <v>2025</v>
      </c>
      <c r="B176" s="3" t="s">
        <v>5</v>
      </c>
      <c r="C176" s="3" t="s">
        <v>10</v>
      </c>
      <c r="D176" s="3">
        <v>9</v>
      </c>
      <c r="E176" s="3">
        <v>79.81</v>
      </c>
      <c r="F176" s="3">
        <v>77.739999999999995</v>
      </c>
      <c r="G176" s="3">
        <f t="shared" si="2"/>
        <v>79.81</v>
      </c>
      <c r="H176" s="3">
        <v>73.290000000000006</v>
      </c>
      <c r="I176" s="3">
        <v>231.61</v>
      </c>
      <c r="J176" s="3">
        <v>95</v>
      </c>
      <c r="K176" s="3">
        <v>14.6</v>
      </c>
      <c r="L176">
        <v>0.27539999999999998</v>
      </c>
      <c r="M176">
        <v>8</v>
      </c>
    </row>
    <row r="177" spans="1:13">
      <c r="A177" s="3">
        <v>2025</v>
      </c>
      <c r="B177" s="3" t="s">
        <v>5</v>
      </c>
      <c r="C177" s="3" t="s">
        <v>10</v>
      </c>
      <c r="D177" s="3">
        <v>10</v>
      </c>
      <c r="E177" s="3">
        <v>84.52</v>
      </c>
      <c r="F177" s="3">
        <v>78.959999999999994</v>
      </c>
      <c r="G177" s="3">
        <f t="shared" si="2"/>
        <v>84.52</v>
      </c>
      <c r="H177" s="3">
        <v>76.53</v>
      </c>
      <c r="I177" s="3">
        <v>247.36</v>
      </c>
      <c r="J177" s="3">
        <v>70</v>
      </c>
      <c r="K177" s="3">
        <v>13.7</v>
      </c>
      <c r="L177">
        <v>0.3095</v>
      </c>
      <c r="M177">
        <v>8</v>
      </c>
    </row>
    <row r="178" spans="1:13">
      <c r="A178" s="3">
        <v>2025</v>
      </c>
      <c r="B178" s="3" t="s">
        <v>5</v>
      </c>
      <c r="C178" s="3" t="s">
        <v>10</v>
      </c>
      <c r="D178" s="3">
        <v>11</v>
      </c>
      <c r="E178" s="3">
        <v>75.349999999999994</v>
      </c>
      <c r="F178" s="3">
        <v>76.11</v>
      </c>
      <c r="G178" s="3">
        <f t="shared" si="2"/>
        <v>76.11</v>
      </c>
      <c r="H178" s="3">
        <v>76.599999999999994</v>
      </c>
      <c r="I178" s="3">
        <v>229.52</v>
      </c>
      <c r="J178" s="3">
        <v>95</v>
      </c>
      <c r="K178" s="3">
        <v>15.4</v>
      </c>
      <c r="L178">
        <v>0.3765</v>
      </c>
      <c r="M178">
        <v>7</v>
      </c>
    </row>
    <row r="179" spans="1:13">
      <c r="A179" s="3">
        <v>2025</v>
      </c>
      <c r="B179" s="3" t="s">
        <v>5</v>
      </c>
      <c r="C179" s="3" t="s">
        <v>10</v>
      </c>
      <c r="D179" s="3">
        <v>12</v>
      </c>
      <c r="E179" s="3">
        <v>79.12</v>
      </c>
      <c r="F179" s="3">
        <v>82.48</v>
      </c>
      <c r="G179" s="3">
        <f t="shared" si="2"/>
        <v>82.48</v>
      </c>
      <c r="H179" s="3">
        <v>71.989999999999995</v>
      </c>
      <c r="I179" s="3">
        <v>234.47</v>
      </c>
      <c r="J179" s="3">
        <v>85</v>
      </c>
      <c r="K179" s="3">
        <v>15.4</v>
      </c>
      <c r="L179">
        <v>0.31080000000000002</v>
      </c>
      <c r="M179">
        <v>10</v>
      </c>
    </row>
    <row r="180" spans="1:13">
      <c r="A180" s="3">
        <v>2025</v>
      </c>
      <c r="B180" s="3" t="s">
        <v>5</v>
      </c>
      <c r="C180" s="3" t="s">
        <v>10</v>
      </c>
      <c r="D180" s="3">
        <v>13</v>
      </c>
      <c r="E180" s="3">
        <v>80.849999999999994</v>
      </c>
      <c r="F180" s="3">
        <v>86.54</v>
      </c>
      <c r="G180" s="3">
        <f t="shared" si="2"/>
        <v>86.54</v>
      </c>
      <c r="H180" s="3">
        <v>76.569999999999993</v>
      </c>
      <c r="I180" s="3">
        <v>275.61</v>
      </c>
      <c r="J180" s="3">
        <v>80</v>
      </c>
      <c r="K180" s="3">
        <v>16.7</v>
      </c>
      <c r="L180">
        <v>0.314</v>
      </c>
      <c r="M180">
        <v>8</v>
      </c>
    </row>
    <row r="181" spans="1:13">
      <c r="A181" s="3">
        <v>2025</v>
      </c>
      <c r="B181" s="3" t="s">
        <v>5</v>
      </c>
      <c r="C181" s="3" t="s">
        <v>10</v>
      </c>
      <c r="D181" s="3">
        <v>14</v>
      </c>
      <c r="E181" s="3">
        <v>69.37</v>
      </c>
      <c r="F181" s="3">
        <v>74.14</v>
      </c>
      <c r="G181" s="3">
        <f t="shared" si="2"/>
        <v>74.14</v>
      </c>
      <c r="H181" s="3">
        <v>75.23</v>
      </c>
      <c r="I181" s="3">
        <v>201.4</v>
      </c>
      <c r="J181" s="3">
        <v>90</v>
      </c>
      <c r="K181" s="3">
        <v>14.8</v>
      </c>
      <c r="L181">
        <v>0.47399999999999998</v>
      </c>
      <c r="M181">
        <v>6</v>
      </c>
    </row>
    <row r="182" spans="1:13">
      <c r="A182" s="3">
        <v>2025</v>
      </c>
      <c r="B182" s="3" t="s">
        <v>5</v>
      </c>
      <c r="C182" s="3" t="s">
        <v>10</v>
      </c>
      <c r="D182" s="3">
        <v>15</v>
      </c>
      <c r="E182" s="3">
        <v>71.040000000000006</v>
      </c>
      <c r="F182" s="3">
        <v>70.290000000000006</v>
      </c>
      <c r="G182" s="3">
        <f t="shared" si="2"/>
        <v>71.040000000000006</v>
      </c>
      <c r="H182" s="3">
        <v>67.489999999999995</v>
      </c>
      <c r="I182" s="3">
        <v>174.01</v>
      </c>
      <c r="J182" s="3">
        <v>75</v>
      </c>
      <c r="K182" s="3">
        <v>15.5</v>
      </c>
      <c r="L182">
        <v>0.55940000000000001</v>
      </c>
      <c r="M182">
        <v>6</v>
      </c>
    </row>
    <row r="183" spans="1:13">
      <c r="A183" s="3">
        <v>2025</v>
      </c>
      <c r="B183" s="3" t="s">
        <v>5</v>
      </c>
      <c r="C183" s="3" t="s">
        <v>7</v>
      </c>
      <c r="D183" s="3">
        <v>1</v>
      </c>
      <c r="E183" s="3">
        <v>74.400000000000006</v>
      </c>
      <c r="F183" s="3">
        <v>70.34</v>
      </c>
      <c r="G183" s="3">
        <f t="shared" si="2"/>
        <v>74.400000000000006</v>
      </c>
      <c r="H183" s="3">
        <v>71.31</v>
      </c>
      <c r="I183" s="3">
        <v>186.34</v>
      </c>
      <c r="J183" s="3">
        <v>70</v>
      </c>
      <c r="K183" s="3">
        <v>12.6</v>
      </c>
      <c r="L183">
        <v>0.64449999999999996</v>
      </c>
      <c r="M183">
        <v>6</v>
      </c>
    </row>
    <row r="184" spans="1:13">
      <c r="A184" s="3">
        <v>2025</v>
      </c>
      <c r="B184" s="3" t="s">
        <v>5</v>
      </c>
      <c r="C184" s="3" t="s">
        <v>7</v>
      </c>
      <c r="D184" s="3">
        <v>2</v>
      </c>
      <c r="E184" s="3">
        <v>75.28</v>
      </c>
      <c r="F184" s="3">
        <v>71.489999999999995</v>
      </c>
      <c r="G184" s="3">
        <f t="shared" si="2"/>
        <v>75.28</v>
      </c>
      <c r="H184" s="3">
        <v>65.22</v>
      </c>
      <c r="I184" s="3">
        <v>179.76</v>
      </c>
      <c r="J184" s="3">
        <v>70</v>
      </c>
      <c r="K184" s="3">
        <v>15.1</v>
      </c>
      <c r="L184">
        <v>0.48120000000000002</v>
      </c>
      <c r="M184">
        <v>5</v>
      </c>
    </row>
    <row r="185" spans="1:13">
      <c r="A185" s="3">
        <v>2025</v>
      </c>
      <c r="B185" s="3" t="s">
        <v>5</v>
      </c>
      <c r="C185" s="3" t="s">
        <v>7</v>
      </c>
      <c r="D185" s="3">
        <v>3</v>
      </c>
      <c r="E185" s="3">
        <v>68.16</v>
      </c>
      <c r="F185" s="3">
        <v>67.290000000000006</v>
      </c>
      <c r="G185" s="3">
        <f t="shared" si="2"/>
        <v>68.16</v>
      </c>
      <c r="H185" s="3">
        <v>56.87</v>
      </c>
      <c r="I185" s="3">
        <v>135.93</v>
      </c>
      <c r="J185" s="3">
        <v>50</v>
      </c>
      <c r="K185" s="3">
        <v>13.7</v>
      </c>
      <c r="L185">
        <v>1.2709999999999999</v>
      </c>
      <c r="M185">
        <v>4</v>
      </c>
    </row>
    <row r="186" spans="1:13">
      <c r="A186" s="3">
        <v>2025</v>
      </c>
      <c r="B186" s="3" t="s">
        <v>5</v>
      </c>
      <c r="C186" s="3" t="s">
        <v>7</v>
      </c>
      <c r="D186" s="3">
        <v>4</v>
      </c>
      <c r="E186" s="3">
        <v>77.48</v>
      </c>
      <c r="F186" s="3">
        <v>76.599999999999994</v>
      </c>
      <c r="G186" s="3">
        <f t="shared" si="2"/>
        <v>77.48</v>
      </c>
      <c r="H186" s="3">
        <v>66.75</v>
      </c>
      <c r="I186" s="3">
        <v>198.25</v>
      </c>
      <c r="J186" s="3">
        <v>85</v>
      </c>
      <c r="K186" s="3">
        <v>13.2</v>
      </c>
      <c r="L186">
        <v>0.64459999999999995</v>
      </c>
      <c r="M186">
        <v>8</v>
      </c>
    </row>
    <row r="187" spans="1:13">
      <c r="A187" s="3">
        <v>2025</v>
      </c>
      <c r="B187" s="3" t="s">
        <v>5</v>
      </c>
      <c r="C187" s="3" t="s">
        <v>7</v>
      </c>
      <c r="D187" s="3">
        <v>5</v>
      </c>
      <c r="E187" s="3">
        <v>80.150000000000006</v>
      </c>
      <c r="F187" s="3">
        <v>83.54</v>
      </c>
      <c r="G187" s="3">
        <f t="shared" si="2"/>
        <v>83.54</v>
      </c>
      <c r="H187" s="3">
        <v>62.24</v>
      </c>
      <c r="I187" s="3">
        <v>232.44</v>
      </c>
      <c r="J187" s="3">
        <v>80</v>
      </c>
      <c r="K187" s="3">
        <v>14.1</v>
      </c>
      <c r="L187">
        <v>0.44840000000000002</v>
      </c>
      <c r="M187">
        <v>7</v>
      </c>
    </row>
    <row r="188" spans="1:13">
      <c r="A188" s="3">
        <v>2025</v>
      </c>
      <c r="B188" s="3" t="s">
        <v>5</v>
      </c>
      <c r="C188" s="3" t="s">
        <v>7</v>
      </c>
      <c r="D188" s="3">
        <v>6</v>
      </c>
      <c r="E188" s="3">
        <v>70.48</v>
      </c>
      <c r="F188" s="3">
        <v>68.52</v>
      </c>
      <c r="G188" s="3">
        <f t="shared" si="2"/>
        <v>70.48</v>
      </c>
      <c r="H188" s="3">
        <v>61.96</v>
      </c>
      <c r="I188" s="3">
        <v>158.04</v>
      </c>
      <c r="J188" s="3">
        <v>60</v>
      </c>
      <c r="K188" s="3">
        <v>15.2</v>
      </c>
      <c r="L188">
        <v>0.84350000000000003</v>
      </c>
      <c r="M188">
        <v>5</v>
      </c>
    </row>
    <row r="189" spans="1:13">
      <c r="A189" s="3">
        <v>2025</v>
      </c>
      <c r="B189" s="3" t="s">
        <v>5</v>
      </c>
      <c r="C189" s="3" t="s">
        <v>7</v>
      </c>
      <c r="D189" s="3">
        <v>7</v>
      </c>
      <c r="E189" s="3">
        <v>76.959999999999994</v>
      </c>
      <c r="F189" s="3">
        <v>78.08</v>
      </c>
      <c r="G189" s="3">
        <f t="shared" si="2"/>
        <v>78.08</v>
      </c>
      <c r="H189" s="3">
        <v>72.16</v>
      </c>
      <c r="I189" s="3">
        <v>225.79</v>
      </c>
      <c r="J189" s="3">
        <v>85</v>
      </c>
      <c r="K189" s="3">
        <v>13</v>
      </c>
      <c r="L189">
        <v>0.41270000000000001</v>
      </c>
      <c r="M189">
        <v>5</v>
      </c>
    </row>
    <row r="190" spans="1:13">
      <c r="A190" s="3">
        <v>2025</v>
      </c>
      <c r="B190" s="3" t="s">
        <v>5</v>
      </c>
      <c r="C190" s="3" t="s">
        <v>7</v>
      </c>
      <c r="D190" s="3">
        <v>8</v>
      </c>
      <c r="E190" s="3">
        <v>74.56</v>
      </c>
      <c r="F190" s="3">
        <v>76.34</v>
      </c>
      <c r="G190" s="3">
        <f t="shared" si="2"/>
        <v>76.34</v>
      </c>
      <c r="H190" s="3">
        <v>65.66</v>
      </c>
      <c r="I190" s="3">
        <v>202.62</v>
      </c>
      <c r="J190" s="3">
        <v>90</v>
      </c>
      <c r="K190" s="3">
        <v>12.2</v>
      </c>
      <c r="L190">
        <v>0.45689999999999997</v>
      </c>
      <c r="M190">
        <v>5</v>
      </c>
    </row>
    <row r="191" spans="1:13">
      <c r="A191" s="3">
        <v>2025</v>
      </c>
      <c r="B191" s="3" t="s">
        <v>5</v>
      </c>
      <c r="C191" s="3" t="s">
        <v>7</v>
      </c>
      <c r="D191" s="3">
        <v>9</v>
      </c>
      <c r="E191" s="3">
        <v>73.849999999999994</v>
      </c>
      <c r="F191" s="3">
        <v>76.16</v>
      </c>
      <c r="G191" s="3">
        <f t="shared" si="2"/>
        <v>76.16</v>
      </c>
      <c r="H191" s="3">
        <v>66.39</v>
      </c>
      <c r="I191" s="3">
        <v>197.26</v>
      </c>
      <c r="J191" s="3">
        <v>75</v>
      </c>
      <c r="K191" s="3">
        <v>12.9</v>
      </c>
      <c r="L191">
        <v>0.46939999999999998</v>
      </c>
      <c r="M191">
        <v>4</v>
      </c>
    </row>
    <row r="192" spans="1:13">
      <c r="A192" s="3">
        <v>2025</v>
      </c>
      <c r="B192" s="3" t="s">
        <v>5</v>
      </c>
      <c r="C192" s="3" t="s">
        <v>7</v>
      </c>
      <c r="D192" s="3">
        <v>10</v>
      </c>
      <c r="E192" s="3">
        <v>76.03</v>
      </c>
      <c r="F192" s="3">
        <v>75.760000000000005</v>
      </c>
      <c r="G192" s="3">
        <f t="shared" si="2"/>
        <v>76.03</v>
      </c>
      <c r="H192" s="3">
        <v>69.66</v>
      </c>
      <c r="I192" s="3">
        <v>206.78</v>
      </c>
      <c r="J192" s="3">
        <v>60</v>
      </c>
      <c r="K192" s="3">
        <v>15.4</v>
      </c>
      <c r="L192">
        <v>9.2700000000000005E-2</v>
      </c>
      <c r="M192">
        <v>9</v>
      </c>
    </row>
    <row r="193" spans="1:13">
      <c r="A193" s="3">
        <v>2025</v>
      </c>
      <c r="B193" s="3" t="s">
        <v>5</v>
      </c>
      <c r="C193" s="3" t="s">
        <v>7</v>
      </c>
      <c r="D193" s="3">
        <v>11</v>
      </c>
      <c r="E193" s="3">
        <v>74.400000000000006</v>
      </c>
      <c r="F193" s="3">
        <v>74.989999999999995</v>
      </c>
      <c r="G193" s="3">
        <f t="shared" si="2"/>
        <v>74.989999999999995</v>
      </c>
      <c r="H193" s="3">
        <v>68.52</v>
      </c>
      <c r="I193" s="3">
        <v>195.9</v>
      </c>
      <c r="J193" s="3">
        <v>90</v>
      </c>
      <c r="K193" s="3">
        <v>15.7</v>
      </c>
      <c r="L193">
        <v>0.17</v>
      </c>
      <c r="M193">
        <v>8</v>
      </c>
    </row>
    <row r="194" spans="1:13">
      <c r="A194" s="3">
        <v>2025</v>
      </c>
      <c r="B194" s="3" t="s">
        <v>5</v>
      </c>
      <c r="C194" s="3" t="s">
        <v>7</v>
      </c>
      <c r="D194" s="3">
        <v>12</v>
      </c>
      <c r="E194" s="3">
        <v>70.53</v>
      </c>
      <c r="F194" s="3">
        <v>71.98</v>
      </c>
      <c r="G194" s="3">
        <f t="shared" si="2"/>
        <v>71.98</v>
      </c>
      <c r="H194" s="3">
        <v>64.47</v>
      </c>
      <c r="I194" s="3">
        <v>163.22</v>
      </c>
      <c r="J194" s="3">
        <v>85</v>
      </c>
      <c r="K194" s="3">
        <v>14.2</v>
      </c>
      <c r="L194">
        <v>0.37780000000000002</v>
      </c>
      <c r="M194">
        <v>7</v>
      </c>
    </row>
    <row r="195" spans="1:13">
      <c r="A195" s="3">
        <v>2025</v>
      </c>
      <c r="B195" s="3" t="s">
        <v>5</v>
      </c>
      <c r="C195" s="3" t="s">
        <v>7</v>
      </c>
      <c r="D195" s="3">
        <v>13</v>
      </c>
      <c r="E195" s="3">
        <v>75.239999999999995</v>
      </c>
      <c r="F195" s="3">
        <v>75.34</v>
      </c>
      <c r="G195" s="3">
        <f t="shared" si="2"/>
        <v>75.34</v>
      </c>
      <c r="H195" s="3">
        <v>66.81</v>
      </c>
      <c r="I195" s="3">
        <v>194.08</v>
      </c>
      <c r="J195" s="3">
        <v>80</v>
      </c>
      <c r="K195" s="3">
        <v>14.7</v>
      </c>
      <c r="L195">
        <v>0.33689999999999998</v>
      </c>
      <c r="M195">
        <v>9</v>
      </c>
    </row>
    <row r="196" spans="1:13">
      <c r="A196" s="3">
        <v>2025</v>
      </c>
      <c r="B196" s="3" t="s">
        <v>5</v>
      </c>
      <c r="C196" s="3" t="s">
        <v>7</v>
      </c>
      <c r="D196" s="3">
        <v>14</v>
      </c>
      <c r="E196" s="3">
        <v>75.599999999999994</v>
      </c>
      <c r="F196" s="3">
        <v>74.31</v>
      </c>
      <c r="G196" s="3">
        <f t="shared" ref="G196:G259" si="3">MAX(E196:F196)</f>
        <v>75.599999999999994</v>
      </c>
      <c r="H196" s="3">
        <v>67.7</v>
      </c>
      <c r="I196" s="3">
        <v>208.96</v>
      </c>
      <c r="J196" s="3">
        <v>90</v>
      </c>
      <c r="K196" s="3">
        <v>14.9</v>
      </c>
      <c r="L196">
        <v>0.23880000000000001</v>
      </c>
      <c r="M196">
        <v>6</v>
      </c>
    </row>
    <row r="197" spans="1:13">
      <c r="A197" s="3">
        <v>2025</v>
      </c>
      <c r="B197" s="3" t="s">
        <v>5</v>
      </c>
      <c r="C197" s="3" t="s">
        <v>7</v>
      </c>
      <c r="D197" s="3">
        <v>15</v>
      </c>
      <c r="E197" s="3">
        <v>70.13</v>
      </c>
      <c r="F197" s="3">
        <v>72.78</v>
      </c>
      <c r="G197" s="3">
        <f t="shared" si="3"/>
        <v>72.78</v>
      </c>
      <c r="H197" s="3">
        <v>69.48</v>
      </c>
      <c r="I197" s="3">
        <v>179.97</v>
      </c>
      <c r="J197" s="3">
        <v>75</v>
      </c>
      <c r="K197" s="3">
        <v>12.8</v>
      </c>
      <c r="L197">
        <v>0.3291</v>
      </c>
      <c r="M197">
        <v>7</v>
      </c>
    </row>
    <row r="198" spans="1:13">
      <c r="A198" s="3">
        <v>2025</v>
      </c>
      <c r="B198" s="3" t="s">
        <v>5</v>
      </c>
      <c r="C198" s="3" t="s">
        <v>6</v>
      </c>
      <c r="D198" s="3">
        <v>1</v>
      </c>
      <c r="E198" s="3">
        <v>75.06</v>
      </c>
      <c r="F198" s="3">
        <v>78.709999999999994</v>
      </c>
      <c r="G198" s="3">
        <f t="shared" si="3"/>
        <v>78.709999999999994</v>
      </c>
      <c r="H198" s="3">
        <v>72.599999999999994</v>
      </c>
      <c r="I198" s="3">
        <v>216.32</v>
      </c>
      <c r="J198" s="3">
        <v>95</v>
      </c>
      <c r="K198" s="3">
        <v>12.6</v>
      </c>
      <c r="L198">
        <v>0.42230000000000001</v>
      </c>
      <c r="M198">
        <v>5</v>
      </c>
    </row>
    <row r="199" spans="1:13">
      <c r="A199" s="3">
        <v>2025</v>
      </c>
      <c r="B199" s="3" t="s">
        <v>5</v>
      </c>
      <c r="C199" s="3" t="s">
        <v>6</v>
      </c>
      <c r="D199" s="3">
        <v>2</v>
      </c>
      <c r="E199" s="3">
        <v>79.38</v>
      </c>
      <c r="F199" s="3">
        <v>77.63</v>
      </c>
      <c r="G199" s="3">
        <f t="shared" si="3"/>
        <v>79.38</v>
      </c>
      <c r="H199" s="3">
        <v>68.77</v>
      </c>
      <c r="I199" s="3">
        <v>214.21</v>
      </c>
      <c r="J199" s="3">
        <v>95</v>
      </c>
      <c r="K199" s="3">
        <v>12.5</v>
      </c>
      <c r="L199">
        <v>0.82410000000000005</v>
      </c>
      <c r="M199">
        <v>4</v>
      </c>
    </row>
    <row r="200" spans="1:13">
      <c r="A200" s="3">
        <v>2025</v>
      </c>
      <c r="B200" s="3" t="s">
        <v>5</v>
      </c>
      <c r="C200" s="3" t="s">
        <v>6</v>
      </c>
      <c r="D200" s="3">
        <v>3</v>
      </c>
      <c r="E200" s="3">
        <v>75.150000000000006</v>
      </c>
      <c r="F200" s="3">
        <v>74.5</v>
      </c>
      <c r="G200" s="3">
        <f t="shared" si="3"/>
        <v>75.150000000000006</v>
      </c>
      <c r="H200" s="3">
        <v>66.459999999999994</v>
      </c>
      <c r="I200" s="3">
        <v>190.41</v>
      </c>
      <c r="J200" s="3">
        <v>80</v>
      </c>
      <c r="K200" s="3">
        <v>13.5</v>
      </c>
      <c r="L200">
        <v>1.1359999999999999</v>
      </c>
      <c r="M200">
        <v>4</v>
      </c>
    </row>
    <row r="201" spans="1:13">
      <c r="A201" s="3">
        <v>2025</v>
      </c>
      <c r="B201" s="3" t="s">
        <v>5</v>
      </c>
      <c r="C201" s="3" t="s">
        <v>6</v>
      </c>
      <c r="D201" s="3">
        <v>4</v>
      </c>
      <c r="E201" s="3">
        <v>81.52</v>
      </c>
      <c r="F201" s="3">
        <v>82.04</v>
      </c>
      <c r="G201" s="3">
        <f t="shared" si="3"/>
        <v>82.04</v>
      </c>
      <c r="H201" s="3">
        <v>79.64</v>
      </c>
      <c r="I201" s="3">
        <v>261.13</v>
      </c>
      <c r="J201" s="3">
        <v>95</v>
      </c>
      <c r="K201" s="3">
        <v>16</v>
      </c>
      <c r="L201">
        <v>0.57250000000000001</v>
      </c>
      <c r="M201">
        <v>8</v>
      </c>
    </row>
    <row r="202" spans="1:13">
      <c r="A202" s="3">
        <v>2025</v>
      </c>
      <c r="B202" s="3" t="s">
        <v>5</v>
      </c>
      <c r="C202" s="3" t="s">
        <v>6</v>
      </c>
      <c r="D202" s="3">
        <v>5</v>
      </c>
      <c r="E202" s="3">
        <v>66.91</v>
      </c>
      <c r="F202" s="3">
        <v>68.040000000000006</v>
      </c>
      <c r="G202" s="3">
        <f t="shared" si="3"/>
        <v>68.040000000000006</v>
      </c>
      <c r="H202" s="3">
        <v>67.400000000000006</v>
      </c>
      <c r="I202" s="3">
        <v>163.41999999999999</v>
      </c>
      <c r="J202" s="3">
        <v>80</v>
      </c>
      <c r="K202" s="3">
        <v>16.399999999999999</v>
      </c>
      <c r="L202">
        <v>0.63839999999999997</v>
      </c>
      <c r="M202">
        <v>5</v>
      </c>
    </row>
    <row r="203" spans="1:13">
      <c r="A203" s="3">
        <v>2025</v>
      </c>
      <c r="B203" s="3" t="s">
        <v>5</v>
      </c>
      <c r="C203" s="3" t="s">
        <v>6</v>
      </c>
      <c r="D203" s="3">
        <v>6</v>
      </c>
      <c r="E203" s="3">
        <v>74.44</v>
      </c>
      <c r="F203" s="3">
        <v>72.25</v>
      </c>
      <c r="G203" s="3">
        <f t="shared" si="3"/>
        <v>74.44</v>
      </c>
      <c r="H203" s="3">
        <v>73.099999999999994</v>
      </c>
      <c r="I203" s="3">
        <v>201.15</v>
      </c>
      <c r="J203" s="3">
        <v>70</v>
      </c>
      <c r="K203" s="3">
        <v>13.9</v>
      </c>
      <c r="L203">
        <v>0.99070000000000003</v>
      </c>
      <c r="M203">
        <v>5</v>
      </c>
    </row>
    <row r="204" spans="1:13">
      <c r="A204" s="3">
        <v>2025</v>
      </c>
      <c r="B204" s="3" t="s">
        <v>5</v>
      </c>
      <c r="C204" s="3" t="s">
        <v>6</v>
      </c>
      <c r="D204" s="3">
        <v>7</v>
      </c>
      <c r="E204" s="3">
        <v>77.569999999999993</v>
      </c>
      <c r="F204" s="3">
        <v>78</v>
      </c>
      <c r="G204" s="3">
        <f t="shared" si="3"/>
        <v>78</v>
      </c>
      <c r="H204" s="3">
        <v>70.8</v>
      </c>
      <c r="I204" s="3">
        <v>227.52</v>
      </c>
      <c r="J204" s="3">
        <v>100</v>
      </c>
      <c r="K204" s="3">
        <v>13.8</v>
      </c>
      <c r="L204">
        <v>0.45350000000000001</v>
      </c>
      <c r="M204">
        <v>5</v>
      </c>
    </row>
    <row r="205" spans="1:13">
      <c r="A205" s="3">
        <v>2025</v>
      </c>
      <c r="B205" s="3" t="s">
        <v>5</v>
      </c>
      <c r="C205" s="3" t="s">
        <v>6</v>
      </c>
      <c r="D205" s="3">
        <v>8</v>
      </c>
      <c r="E205" s="3">
        <v>71.36</v>
      </c>
      <c r="F205" s="3">
        <v>70.790000000000006</v>
      </c>
      <c r="G205" s="3">
        <f t="shared" si="3"/>
        <v>71.36</v>
      </c>
      <c r="H205" s="3">
        <v>64.459999999999994</v>
      </c>
      <c r="I205" s="3">
        <v>170.48</v>
      </c>
      <c r="J205" s="3">
        <v>60</v>
      </c>
      <c r="K205" s="3">
        <v>15.4</v>
      </c>
      <c r="L205">
        <v>0.8952</v>
      </c>
      <c r="M205">
        <v>5</v>
      </c>
    </row>
    <row r="206" spans="1:13">
      <c r="A206" s="3">
        <v>2025</v>
      </c>
      <c r="B206" s="3" t="s">
        <v>5</v>
      </c>
      <c r="C206" s="3" t="s">
        <v>6</v>
      </c>
      <c r="D206" s="3">
        <v>9</v>
      </c>
      <c r="E206" s="3">
        <v>73.569999999999993</v>
      </c>
      <c r="F206" s="3">
        <v>69.03</v>
      </c>
      <c r="G206" s="3">
        <f t="shared" si="3"/>
        <v>73.569999999999993</v>
      </c>
      <c r="H206" s="3">
        <v>60.79</v>
      </c>
      <c r="I206" s="3">
        <v>156.38</v>
      </c>
      <c r="J206" s="3">
        <v>85</v>
      </c>
      <c r="K206" s="3">
        <v>12.1</v>
      </c>
      <c r="L206">
        <v>1.014</v>
      </c>
      <c r="M206">
        <v>4</v>
      </c>
    </row>
    <row r="207" spans="1:13">
      <c r="A207" s="3">
        <v>2025</v>
      </c>
      <c r="B207" s="3" t="s">
        <v>5</v>
      </c>
      <c r="C207" s="3" t="s">
        <v>6</v>
      </c>
      <c r="D207" s="3">
        <v>10</v>
      </c>
      <c r="E207" s="3">
        <v>77.22</v>
      </c>
      <c r="F207" s="3">
        <v>75.83</v>
      </c>
      <c r="G207" s="3">
        <f t="shared" si="3"/>
        <v>77.22</v>
      </c>
      <c r="H207" s="3">
        <v>68.12</v>
      </c>
      <c r="I207" s="3">
        <v>204.01</v>
      </c>
      <c r="J207" s="3">
        <v>70</v>
      </c>
      <c r="K207" s="3">
        <v>13.5</v>
      </c>
      <c r="L207">
        <v>0.82489999999999997</v>
      </c>
      <c r="M207">
        <v>4</v>
      </c>
    </row>
    <row r="208" spans="1:13">
      <c r="A208" s="3">
        <v>2025</v>
      </c>
      <c r="B208" s="3" t="s">
        <v>5</v>
      </c>
      <c r="C208" s="3" t="s">
        <v>6</v>
      </c>
      <c r="D208" s="3">
        <v>11</v>
      </c>
      <c r="E208" s="3">
        <v>70.83</v>
      </c>
      <c r="F208" s="3">
        <v>71.53</v>
      </c>
      <c r="G208" s="3">
        <f t="shared" si="3"/>
        <v>71.53</v>
      </c>
      <c r="H208" s="3">
        <v>66.319999999999993</v>
      </c>
      <c r="I208" s="3">
        <v>169.46</v>
      </c>
      <c r="J208" s="3">
        <v>70</v>
      </c>
      <c r="K208" s="3">
        <v>13.8</v>
      </c>
      <c r="L208">
        <v>0.66200000000000003</v>
      </c>
      <c r="M208">
        <v>5</v>
      </c>
    </row>
    <row r="209" spans="1:13">
      <c r="A209" s="3">
        <v>2025</v>
      </c>
      <c r="B209" s="3" t="s">
        <v>5</v>
      </c>
      <c r="C209" s="3" t="s">
        <v>6</v>
      </c>
      <c r="D209" s="3">
        <v>12</v>
      </c>
      <c r="E209" s="3">
        <v>72.900000000000006</v>
      </c>
      <c r="F209" s="3">
        <v>75.03</v>
      </c>
      <c r="G209" s="3">
        <f t="shared" si="3"/>
        <v>75.03</v>
      </c>
      <c r="H209" s="3">
        <v>66.78</v>
      </c>
      <c r="I209" s="3">
        <v>180.4</v>
      </c>
      <c r="J209" s="3">
        <v>80</v>
      </c>
      <c r="K209" s="3">
        <v>11.7</v>
      </c>
      <c r="L209">
        <v>1.111</v>
      </c>
      <c r="M209">
        <v>4</v>
      </c>
    </row>
    <row r="210" spans="1:13">
      <c r="A210" s="3">
        <v>2025</v>
      </c>
      <c r="B210" s="3" t="s">
        <v>5</v>
      </c>
      <c r="C210" s="3" t="s">
        <v>6</v>
      </c>
      <c r="D210" s="3">
        <v>13</v>
      </c>
      <c r="E210" s="3">
        <v>75.27</v>
      </c>
      <c r="F210" s="3">
        <v>73.89</v>
      </c>
      <c r="G210" s="3">
        <f t="shared" si="3"/>
        <v>75.27</v>
      </c>
      <c r="H210" s="3">
        <v>65.8</v>
      </c>
      <c r="I210" s="3">
        <v>195.94</v>
      </c>
      <c r="J210" s="3">
        <v>95</v>
      </c>
      <c r="K210" s="3">
        <v>13.6</v>
      </c>
      <c r="L210">
        <v>0.69969999999999999</v>
      </c>
      <c r="M210">
        <v>5</v>
      </c>
    </row>
    <row r="211" spans="1:13">
      <c r="A211" s="3">
        <v>2025</v>
      </c>
      <c r="B211" s="3" t="s">
        <v>5</v>
      </c>
      <c r="C211" s="3" t="s">
        <v>6</v>
      </c>
      <c r="D211" s="3">
        <v>14</v>
      </c>
      <c r="E211" s="3">
        <v>75</v>
      </c>
      <c r="F211" s="3">
        <v>69.86</v>
      </c>
      <c r="G211" s="3">
        <f t="shared" si="3"/>
        <v>75</v>
      </c>
      <c r="H211" s="3">
        <v>65.95</v>
      </c>
      <c r="I211" s="3">
        <v>181.37</v>
      </c>
      <c r="J211" s="3">
        <v>85</v>
      </c>
      <c r="K211" s="3">
        <v>13.7</v>
      </c>
      <c r="L211">
        <v>0.37280000000000002</v>
      </c>
      <c r="M211">
        <v>7</v>
      </c>
    </row>
    <row r="212" spans="1:13">
      <c r="A212" s="3">
        <v>2025</v>
      </c>
      <c r="B212" s="3" t="s">
        <v>5</v>
      </c>
      <c r="C212" s="3" t="s">
        <v>6</v>
      </c>
      <c r="D212" s="3">
        <v>15</v>
      </c>
      <c r="E212" s="3">
        <v>79.22</v>
      </c>
      <c r="F212" s="3">
        <v>79</v>
      </c>
      <c r="G212" s="3">
        <f t="shared" si="3"/>
        <v>79.22</v>
      </c>
      <c r="H212" s="3">
        <v>67.77</v>
      </c>
      <c r="I212" s="3">
        <v>220.06</v>
      </c>
      <c r="J212" s="3">
        <v>80</v>
      </c>
      <c r="K212" s="3">
        <v>12.8</v>
      </c>
      <c r="L212">
        <v>0.39829999999999999</v>
      </c>
      <c r="M212">
        <v>7</v>
      </c>
    </row>
    <row r="213" spans="1:13">
      <c r="A213" s="3">
        <v>2025</v>
      </c>
      <c r="B213" s="3" t="s">
        <v>5</v>
      </c>
      <c r="C213" s="3" t="s">
        <v>8</v>
      </c>
      <c r="D213" s="3">
        <v>1</v>
      </c>
      <c r="E213" s="3">
        <v>78</v>
      </c>
      <c r="F213" s="3">
        <v>76.69</v>
      </c>
      <c r="G213" s="3">
        <f t="shared" si="3"/>
        <v>78</v>
      </c>
      <c r="H213" s="3">
        <v>68.55</v>
      </c>
      <c r="I213" s="3">
        <v>226.68</v>
      </c>
      <c r="J213" s="3">
        <v>95</v>
      </c>
      <c r="K213" s="3">
        <v>14.4</v>
      </c>
      <c r="L213">
        <v>0.28070000000000001</v>
      </c>
      <c r="M213">
        <v>7</v>
      </c>
    </row>
    <row r="214" spans="1:13">
      <c r="A214" s="3">
        <v>2025</v>
      </c>
      <c r="B214" s="3" t="s">
        <v>5</v>
      </c>
      <c r="C214" s="3" t="s">
        <v>8</v>
      </c>
      <c r="D214" s="3">
        <v>2</v>
      </c>
      <c r="E214" s="3">
        <v>70.510000000000005</v>
      </c>
      <c r="F214" s="3">
        <v>71.010000000000005</v>
      </c>
      <c r="G214" s="3">
        <f t="shared" si="3"/>
        <v>71.010000000000005</v>
      </c>
      <c r="H214" s="3">
        <v>73.11</v>
      </c>
      <c r="I214" s="3">
        <v>175.2</v>
      </c>
      <c r="J214" s="3">
        <v>95</v>
      </c>
      <c r="K214" s="3">
        <v>13.3</v>
      </c>
      <c r="L214">
        <v>0.49959999999999999</v>
      </c>
      <c r="M214">
        <v>5</v>
      </c>
    </row>
    <row r="215" spans="1:13">
      <c r="A215" s="3">
        <v>2025</v>
      </c>
      <c r="B215" s="3" t="s">
        <v>5</v>
      </c>
      <c r="C215" s="3" t="s">
        <v>8</v>
      </c>
      <c r="D215" s="3">
        <v>3</v>
      </c>
      <c r="E215" s="3">
        <v>76.86</v>
      </c>
      <c r="F215" s="3">
        <v>77.77</v>
      </c>
      <c r="G215" s="3">
        <f t="shared" si="3"/>
        <v>77.77</v>
      </c>
      <c r="H215" s="3">
        <v>65.44</v>
      </c>
      <c r="I215" s="3">
        <v>206.27</v>
      </c>
      <c r="J215" s="3">
        <v>90</v>
      </c>
      <c r="K215" s="3">
        <v>13.4</v>
      </c>
      <c r="L215">
        <v>0.62209999999999999</v>
      </c>
      <c r="M215">
        <v>5</v>
      </c>
    </row>
    <row r="216" spans="1:13">
      <c r="A216" s="3">
        <v>2025</v>
      </c>
      <c r="B216" s="3" t="s">
        <v>5</v>
      </c>
      <c r="C216" s="3" t="s">
        <v>8</v>
      </c>
      <c r="D216" s="3">
        <v>4</v>
      </c>
      <c r="E216" s="3">
        <v>74.3</v>
      </c>
      <c r="F216" s="3">
        <v>72.83</v>
      </c>
      <c r="G216" s="3">
        <f t="shared" si="3"/>
        <v>74.3</v>
      </c>
      <c r="H216" s="3">
        <v>64.02</v>
      </c>
      <c r="I216" s="3">
        <v>192.26</v>
      </c>
      <c r="J216" s="3">
        <v>95</v>
      </c>
      <c r="K216" s="3">
        <v>13.8</v>
      </c>
      <c r="L216">
        <v>0.58730000000000004</v>
      </c>
      <c r="M216">
        <v>5</v>
      </c>
    </row>
    <row r="217" spans="1:13">
      <c r="A217" s="3">
        <v>2025</v>
      </c>
      <c r="B217" s="3" t="s">
        <v>5</v>
      </c>
      <c r="C217" s="3" t="s">
        <v>8</v>
      </c>
      <c r="D217" s="3">
        <v>5</v>
      </c>
      <c r="E217" s="3">
        <v>74.56</v>
      </c>
      <c r="F217" s="3">
        <v>75.819999999999993</v>
      </c>
      <c r="G217" s="3">
        <f t="shared" si="3"/>
        <v>75.819999999999993</v>
      </c>
      <c r="H217" s="3">
        <v>63.05</v>
      </c>
      <c r="I217" s="3">
        <v>194.63</v>
      </c>
      <c r="J217" s="3">
        <v>95</v>
      </c>
      <c r="K217" s="3">
        <v>15.1</v>
      </c>
      <c r="L217">
        <v>0.39179999999999998</v>
      </c>
      <c r="M217">
        <v>5</v>
      </c>
    </row>
    <row r="218" spans="1:13">
      <c r="A218" s="3">
        <v>2025</v>
      </c>
      <c r="B218" s="3" t="s">
        <v>5</v>
      </c>
      <c r="C218" s="3" t="s">
        <v>8</v>
      </c>
      <c r="D218" s="3">
        <v>6</v>
      </c>
      <c r="E218" s="3">
        <v>63.69</v>
      </c>
      <c r="F218" s="3">
        <v>64.14</v>
      </c>
      <c r="G218" s="3">
        <f t="shared" si="3"/>
        <v>64.14</v>
      </c>
      <c r="H218" s="3">
        <v>55.72</v>
      </c>
      <c r="I218" s="3">
        <v>124.9</v>
      </c>
      <c r="J218" s="3">
        <v>80</v>
      </c>
      <c r="K218" s="3">
        <v>13.7</v>
      </c>
      <c r="L218">
        <v>0.77090000000000003</v>
      </c>
      <c r="M218">
        <v>4</v>
      </c>
    </row>
    <row r="219" spans="1:13">
      <c r="A219" s="3">
        <v>2025</v>
      </c>
      <c r="B219" s="3" t="s">
        <v>5</v>
      </c>
      <c r="C219" s="3" t="s">
        <v>8</v>
      </c>
      <c r="D219" s="3">
        <v>7</v>
      </c>
      <c r="E219" s="3">
        <v>79.66</v>
      </c>
      <c r="F219" s="3">
        <v>77.83</v>
      </c>
      <c r="G219" s="3">
        <f t="shared" si="3"/>
        <v>79.66</v>
      </c>
      <c r="H219" s="3">
        <v>67.89</v>
      </c>
      <c r="I219" s="3">
        <v>224.78</v>
      </c>
      <c r="J219" s="3">
        <v>95</v>
      </c>
      <c r="K219" s="3">
        <v>12.8</v>
      </c>
      <c r="L219">
        <v>0.5302</v>
      </c>
      <c r="M219">
        <v>5</v>
      </c>
    </row>
    <row r="220" spans="1:13">
      <c r="A220" s="3">
        <v>2025</v>
      </c>
      <c r="B220" s="3" t="s">
        <v>5</v>
      </c>
      <c r="C220" s="3" t="s">
        <v>8</v>
      </c>
      <c r="D220" s="3">
        <v>8</v>
      </c>
      <c r="E220" s="3">
        <v>68.33</v>
      </c>
      <c r="F220" s="3">
        <v>68.34</v>
      </c>
      <c r="G220" s="3">
        <f t="shared" si="3"/>
        <v>68.34</v>
      </c>
      <c r="H220" s="3">
        <v>62.27</v>
      </c>
      <c r="I220" s="3">
        <v>151.26</v>
      </c>
      <c r="J220" s="3">
        <v>90</v>
      </c>
      <c r="K220" s="3">
        <v>11.1</v>
      </c>
      <c r="L220">
        <v>0.56210000000000004</v>
      </c>
      <c r="M220">
        <v>5</v>
      </c>
    </row>
    <row r="221" spans="1:13">
      <c r="A221" s="3">
        <v>2025</v>
      </c>
      <c r="B221" s="3" t="s">
        <v>5</v>
      </c>
      <c r="C221" s="3" t="s">
        <v>8</v>
      </c>
      <c r="D221" s="3">
        <v>9</v>
      </c>
      <c r="E221" s="3">
        <v>71.59</v>
      </c>
      <c r="F221" s="3">
        <v>71.8</v>
      </c>
      <c r="G221" s="3">
        <f t="shared" si="3"/>
        <v>71.8</v>
      </c>
      <c r="H221" s="3">
        <v>61.26</v>
      </c>
      <c r="I221" s="3">
        <v>170.66</v>
      </c>
      <c r="J221" s="3">
        <v>90</v>
      </c>
      <c r="K221" s="3">
        <v>14.4</v>
      </c>
      <c r="L221">
        <v>0.33839999999999998</v>
      </c>
      <c r="M221">
        <v>5</v>
      </c>
    </row>
    <row r="222" spans="1:13">
      <c r="A222" s="3">
        <v>2025</v>
      </c>
      <c r="B222" s="3" t="s">
        <v>5</v>
      </c>
      <c r="C222" s="3" t="s">
        <v>8</v>
      </c>
      <c r="D222" s="3">
        <v>10</v>
      </c>
      <c r="E222" s="3">
        <v>74.78</v>
      </c>
      <c r="F222" s="3">
        <v>77.64</v>
      </c>
      <c r="G222" s="3">
        <f t="shared" si="3"/>
        <v>77.64</v>
      </c>
      <c r="H222" s="3">
        <v>61.64</v>
      </c>
      <c r="I222" s="3">
        <v>201.15</v>
      </c>
      <c r="J222" s="3">
        <v>90</v>
      </c>
      <c r="K222" s="3">
        <v>13.1</v>
      </c>
      <c r="L222">
        <v>0.51300000000000001</v>
      </c>
      <c r="M222">
        <v>4</v>
      </c>
    </row>
    <row r="223" spans="1:13">
      <c r="A223" s="3">
        <v>2025</v>
      </c>
      <c r="B223" s="3" t="s">
        <v>5</v>
      </c>
      <c r="C223" s="3" t="s">
        <v>8</v>
      </c>
      <c r="D223" s="3">
        <v>11</v>
      </c>
      <c r="E223" s="3">
        <v>75.7</v>
      </c>
      <c r="F223" s="3">
        <v>75.23</v>
      </c>
      <c r="G223" s="3">
        <f t="shared" si="3"/>
        <v>75.7</v>
      </c>
      <c r="H223" s="3">
        <v>65.33</v>
      </c>
      <c r="I223" s="3">
        <v>201.7</v>
      </c>
      <c r="J223" s="3">
        <v>80</v>
      </c>
      <c r="K223" s="3">
        <v>17.2</v>
      </c>
      <c r="L223">
        <v>0.46339999999999998</v>
      </c>
      <c r="M223">
        <v>6</v>
      </c>
    </row>
    <row r="224" spans="1:13">
      <c r="A224" s="3">
        <v>2025</v>
      </c>
      <c r="B224" s="3" t="s">
        <v>5</v>
      </c>
      <c r="C224" s="3" t="s">
        <v>8</v>
      </c>
      <c r="D224" s="3">
        <v>12</v>
      </c>
      <c r="E224" s="3">
        <v>71.22</v>
      </c>
      <c r="F224" s="3">
        <v>70.53</v>
      </c>
      <c r="G224" s="3">
        <f t="shared" si="3"/>
        <v>71.22</v>
      </c>
      <c r="H224" s="3">
        <v>65.17</v>
      </c>
      <c r="I224" s="3">
        <v>171.63</v>
      </c>
      <c r="J224" s="3">
        <v>85</v>
      </c>
      <c r="K224" s="3">
        <v>14.9</v>
      </c>
      <c r="L224">
        <v>0.58340000000000003</v>
      </c>
      <c r="M224">
        <v>4</v>
      </c>
    </row>
    <row r="225" spans="1:13">
      <c r="A225" s="3">
        <v>2025</v>
      </c>
      <c r="B225" s="3" t="s">
        <v>5</v>
      </c>
      <c r="C225" s="3" t="s">
        <v>8</v>
      </c>
      <c r="D225" s="3">
        <v>13</v>
      </c>
      <c r="E225" s="3">
        <v>59.13</v>
      </c>
      <c r="F225" s="3">
        <v>62.38</v>
      </c>
      <c r="G225" s="3">
        <f t="shared" si="3"/>
        <v>62.38</v>
      </c>
      <c r="H225" s="3">
        <v>54.74</v>
      </c>
      <c r="I225" s="3">
        <v>104.44</v>
      </c>
      <c r="J225" s="3">
        <v>75</v>
      </c>
      <c r="K225" s="3">
        <v>14.7</v>
      </c>
      <c r="L225">
        <v>0.43159999999999998</v>
      </c>
      <c r="M225">
        <v>6</v>
      </c>
    </row>
    <row r="226" spans="1:13">
      <c r="A226" s="3">
        <v>2025</v>
      </c>
      <c r="B226" s="3" t="s">
        <v>5</v>
      </c>
      <c r="C226" s="3" t="s">
        <v>8</v>
      </c>
      <c r="D226" s="3">
        <v>14</v>
      </c>
      <c r="E226" s="3">
        <v>72.569999999999993</v>
      </c>
      <c r="F226" s="3">
        <v>72.62</v>
      </c>
      <c r="G226" s="3">
        <f t="shared" si="3"/>
        <v>72.62</v>
      </c>
      <c r="H226" s="3">
        <v>69.12</v>
      </c>
      <c r="I226" s="3">
        <v>177.17</v>
      </c>
      <c r="J226" s="3">
        <v>85</v>
      </c>
      <c r="K226" s="3">
        <v>13.9</v>
      </c>
      <c r="L226">
        <v>0.26960000000000001</v>
      </c>
      <c r="M226">
        <v>6</v>
      </c>
    </row>
    <row r="227" spans="1:13">
      <c r="A227" s="3">
        <v>2025</v>
      </c>
      <c r="B227" s="3" t="s">
        <v>5</v>
      </c>
      <c r="C227" s="3" t="s">
        <v>8</v>
      </c>
      <c r="D227" s="3">
        <v>15</v>
      </c>
      <c r="E227" s="3">
        <v>68.2</v>
      </c>
      <c r="F227" s="3">
        <v>69.150000000000006</v>
      </c>
      <c r="G227" s="3">
        <f t="shared" si="3"/>
        <v>69.150000000000006</v>
      </c>
      <c r="H227" s="3">
        <v>59.73</v>
      </c>
      <c r="I227" s="3">
        <v>150.68</v>
      </c>
      <c r="J227" s="3">
        <v>70</v>
      </c>
      <c r="K227" s="3">
        <v>12.8</v>
      </c>
      <c r="L227">
        <v>0.75770000000000004</v>
      </c>
      <c r="M227">
        <v>5</v>
      </c>
    </row>
    <row r="228" spans="1:13">
      <c r="A228" s="3">
        <v>2025</v>
      </c>
      <c r="B228" s="3" t="s">
        <v>12</v>
      </c>
      <c r="C228" s="3" t="s">
        <v>8</v>
      </c>
      <c r="D228" s="3">
        <v>1</v>
      </c>
      <c r="E228" s="3">
        <v>67.5</v>
      </c>
      <c r="F228" s="3">
        <v>64.73</v>
      </c>
      <c r="G228" s="3">
        <f t="shared" si="3"/>
        <v>67.5</v>
      </c>
      <c r="H228" s="3">
        <v>61.59</v>
      </c>
      <c r="I228" s="3">
        <v>138.86000000000001</v>
      </c>
      <c r="J228" s="3">
        <v>70</v>
      </c>
      <c r="K228" s="3">
        <v>14.3</v>
      </c>
      <c r="L228">
        <v>0.57969999999999999</v>
      </c>
      <c r="M228">
        <v>2</v>
      </c>
    </row>
    <row r="229" spans="1:13">
      <c r="A229" s="3">
        <v>2025</v>
      </c>
      <c r="B229" s="3" t="s">
        <v>12</v>
      </c>
      <c r="C229" s="3" t="s">
        <v>8</v>
      </c>
      <c r="D229" s="3">
        <v>2</v>
      </c>
      <c r="E229" s="3">
        <v>69.81</v>
      </c>
      <c r="F229" s="3">
        <v>69.84</v>
      </c>
      <c r="G229" s="3">
        <f t="shared" si="3"/>
        <v>69.84</v>
      </c>
      <c r="H229" s="3">
        <v>62.16</v>
      </c>
      <c r="I229" s="3">
        <v>151.96</v>
      </c>
      <c r="J229" s="3">
        <v>75</v>
      </c>
      <c r="K229" s="3">
        <v>15.5</v>
      </c>
      <c r="L229">
        <v>0.48270000000000002</v>
      </c>
      <c r="M229">
        <v>3</v>
      </c>
    </row>
    <row r="230" spans="1:13">
      <c r="A230" s="3">
        <v>2025</v>
      </c>
      <c r="B230" s="3" t="s">
        <v>12</v>
      </c>
      <c r="C230" s="3" t="s">
        <v>8</v>
      </c>
      <c r="D230" s="3">
        <v>3</v>
      </c>
      <c r="E230" s="3">
        <v>75.930000000000007</v>
      </c>
      <c r="F230" s="3">
        <v>76.67</v>
      </c>
      <c r="G230" s="3">
        <f t="shared" si="3"/>
        <v>76.67</v>
      </c>
      <c r="H230" s="3">
        <v>73.319999999999993</v>
      </c>
      <c r="I230" s="3">
        <v>208.04</v>
      </c>
      <c r="J230" s="3">
        <v>90</v>
      </c>
      <c r="K230" s="3">
        <v>14.4</v>
      </c>
      <c r="L230">
        <v>0.46379999999999999</v>
      </c>
      <c r="M230">
        <v>5</v>
      </c>
    </row>
    <row r="231" spans="1:13">
      <c r="A231" s="3">
        <v>2025</v>
      </c>
      <c r="B231" s="3" t="s">
        <v>12</v>
      </c>
      <c r="C231" s="3" t="s">
        <v>8</v>
      </c>
      <c r="D231" s="3">
        <v>4</v>
      </c>
      <c r="E231" s="3">
        <v>68.91</v>
      </c>
      <c r="F231" s="3">
        <v>64.94</v>
      </c>
      <c r="G231" s="3">
        <f t="shared" si="3"/>
        <v>68.91</v>
      </c>
      <c r="H231" s="3">
        <v>53.46</v>
      </c>
      <c r="I231" s="3">
        <v>132.87</v>
      </c>
      <c r="J231" s="3">
        <v>85</v>
      </c>
      <c r="K231" s="3">
        <v>13.8</v>
      </c>
      <c r="L231">
        <v>0.46760000000000002</v>
      </c>
      <c r="M231">
        <v>4</v>
      </c>
    </row>
    <row r="232" spans="1:13">
      <c r="A232" s="3">
        <v>2025</v>
      </c>
      <c r="B232" s="3" t="s">
        <v>12</v>
      </c>
      <c r="C232" s="3" t="s">
        <v>8</v>
      </c>
      <c r="D232" s="3">
        <v>5</v>
      </c>
      <c r="E232" s="3">
        <v>76.78</v>
      </c>
      <c r="F232" s="3">
        <v>78.680000000000007</v>
      </c>
      <c r="G232" s="3">
        <f t="shared" si="3"/>
        <v>78.680000000000007</v>
      </c>
      <c r="H232" s="3">
        <v>70.14</v>
      </c>
      <c r="I232" s="3">
        <v>214.14</v>
      </c>
      <c r="J232" s="3">
        <v>80</v>
      </c>
      <c r="K232" s="3">
        <v>14.3</v>
      </c>
      <c r="L232">
        <v>0.50390000000000001</v>
      </c>
      <c r="M232">
        <v>5</v>
      </c>
    </row>
    <row r="233" spans="1:13">
      <c r="A233" s="3">
        <v>2025</v>
      </c>
      <c r="B233" s="3" t="s">
        <v>12</v>
      </c>
      <c r="C233" s="3" t="s">
        <v>8</v>
      </c>
      <c r="D233" s="3">
        <v>6</v>
      </c>
      <c r="E233" s="3">
        <v>73.78</v>
      </c>
      <c r="F233" s="3">
        <v>75.150000000000006</v>
      </c>
      <c r="G233" s="3">
        <f t="shared" si="3"/>
        <v>75.150000000000006</v>
      </c>
      <c r="H233" s="3">
        <v>59.9</v>
      </c>
      <c r="I233" s="3">
        <v>174.22</v>
      </c>
      <c r="J233" s="3">
        <v>80</v>
      </c>
      <c r="K233" s="3">
        <v>13.2</v>
      </c>
      <c r="L233">
        <v>0.76949999999999996</v>
      </c>
      <c r="M233">
        <v>4</v>
      </c>
    </row>
    <row r="234" spans="1:13">
      <c r="A234" s="3">
        <v>2025</v>
      </c>
      <c r="B234" s="3" t="s">
        <v>12</v>
      </c>
      <c r="C234" s="3" t="s">
        <v>8</v>
      </c>
      <c r="D234" s="3">
        <v>7</v>
      </c>
      <c r="E234" s="3">
        <v>60.57</v>
      </c>
      <c r="F234" s="3">
        <v>64.17</v>
      </c>
      <c r="G234" s="3">
        <f t="shared" si="3"/>
        <v>64.17</v>
      </c>
      <c r="H234" s="3">
        <v>56.53</v>
      </c>
      <c r="I234" s="3">
        <v>116.22</v>
      </c>
      <c r="J234" s="3">
        <v>75</v>
      </c>
      <c r="K234" s="3">
        <v>15.3</v>
      </c>
      <c r="L234">
        <v>0.76090000000000002</v>
      </c>
      <c r="M234">
        <v>4</v>
      </c>
    </row>
    <row r="235" spans="1:13">
      <c r="A235" s="3">
        <v>2025</v>
      </c>
      <c r="B235" s="3" t="s">
        <v>12</v>
      </c>
      <c r="C235" s="3" t="s">
        <v>8</v>
      </c>
      <c r="D235" s="3">
        <v>8</v>
      </c>
      <c r="E235" s="3">
        <v>72.48</v>
      </c>
      <c r="F235" s="3">
        <v>73.06</v>
      </c>
      <c r="G235" s="3">
        <f t="shared" si="3"/>
        <v>73.06</v>
      </c>
      <c r="H235" s="3">
        <v>59.75</v>
      </c>
      <c r="I235" s="3">
        <v>170.36</v>
      </c>
      <c r="J235" s="3">
        <v>80</v>
      </c>
      <c r="K235" s="3">
        <v>11.8</v>
      </c>
      <c r="L235">
        <v>0.69399999999999995</v>
      </c>
      <c r="M235">
        <v>4</v>
      </c>
    </row>
    <row r="236" spans="1:13">
      <c r="A236" s="3">
        <v>2025</v>
      </c>
      <c r="B236" s="3" t="s">
        <v>12</v>
      </c>
      <c r="C236" s="3" t="s">
        <v>8</v>
      </c>
      <c r="D236" s="3">
        <v>9</v>
      </c>
      <c r="E236" s="3">
        <v>75.8</v>
      </c>
      <c r="F236" s="3">
        <v>75.069999999999993</v>
      </c>
      <c r="G236" s="3">
        <f t="shared" si="3"/>
        <v>75.8</v>
      </c>
      <c r="H236" s="3">
        <v>66.459999999999994</v>
      </c>
      <c r="I236" s="3">
        <v>187.18</v>
      </c>
      <c r="J236" s="3">
        <v>80</v>
      </c>
      <c r="K236" s="3">
        <v>12.1</v>
      </c>
      <c r="L236">
        <v>0.50539999999999996</v>
      </c>
      <c r="M236">
        <v>5</v>
      </c>
    </row>
    <row r="237" spans="1:13">
      <c r="A237" s="3">
        <v>2025</v>
      </c>
      <c r="B237" s="3" t="s">
        <v>12</v>
      </c>
      <c r="C237" s="3" t="s">
        <v>8</v>
      </c>
      <c r="D237" s="3">
        <v>10</v>
      </c>
      <c r="E237" s="3">
        <v>67.010000000000005</v>
      </c>
      <c r="F237" s="3">
        <v>67.3</v>
      </c>
      <c r="G237" s="3">
        <f t="shared" si="3"/>
        <v>67.3</v>
      </c>
      <c r="H237" s="3">
        <v>51.54</v>
      </c>
      <c r="I237" s="3">
        <v>140.13999999999999</v>
      </c>
      <c r="J237" s="3">
        <v>50</v>
      </c>
      <c r="K237" s="3">
        <v>16.100000000000001</v>
      </c>
      <c r="L237">
        <v>0.70850000000000002</v>
      </c>
      <c r="M237">
        <v>6</v>
      </c>
    </row>
    <row r="238" spans="1:13">
      <c r="A238" s="3">
        <v>2025</v>
      </c>
      <c r="B238" s="3" t="s">
        <v>12</v>
      </c>
      <c r="C238" s="3" t="s">
        <v>8</v>
      </c>
      <c r="D238" s="3">
        <v>11</v>
      </c>
      <c r="E238" s="3">
        <v>81.31</v>
      </c>
      <c r="F238" s="3">
        <v>76.17</v>
      </c>
      <c r="G238" s="3">
        <f t="shared" si="3"/>
        <v>81.31</v>
      </c>
      <c r="H238" s="3">
        <v>63.56</v>
      </c>
      <c r="I238" s="3">
        <v>210.79</v>
      </c>
      <c r="J238" s="3">
        <v>70</v>
      </c>
      <c r="K238" s="3">
        <v>15.2</v>
      </c>
      <c r="L238">
        <v>0.8337</v>
      </c>
      <c r="M238">
        <v>5</v>
      </c>
    </row>
    <row r="239" spans="1:13">
      <c r="A239" s="3">
        <v>2025</v>
      </c>
      <c r="B239" s="3" t="s">
        <v>12</v>
      </c>
      <c r="C239" s="3" t="s">
        <v>8</v>
      </c>
      <c r="D239" s="3">
        <v>12</v>
      </c>
      <c r="E239" s="3">
        <v>71.19</v>
      </c>
      <c r="F239" s="3">
        <v>60.72</v>
      </c>
      <c r="G239" s="3">
        <f t="shared" si="3"/>
        <v>71.19</v>
      </c>
      <c r="H239" s="3">
        <v>61.62</v>
      </c>
      <c r="I239" s="3">
        <v>169.26</v>
      </c>
      <c r="J239" s="3">
        <v>75</v>
      </c>
      <c r="K239" s="3">
        <v>13</v>
      </c>
      <c r="L239">
        <v>0.82130000000000003</v>
      </c>
      <c r="M239">
        <v>6</v>
      </c>
    </row>
    <row r="240" spans="1:13">
      <c r="A240" s="3">
        <v>2025</v>
      </c>
      <c r="B240" s="3" t="s">
        <v>12</v>
      </c>
      <c r="C240" s="3" t="s">
        <v>8</v>
      </c>
      <c r="D240" s="3">
        <v>13</v>
      </c>
      <c r="E240" s="3">
        <v>82.45</v>
      </c>
      <c r="F240" s="3">
        <v>78.430000000000007</v>
      </c>
      <c r="G240" s="3">
        <f t="shared" si="3"/>
        <v>82.45</v>
      </c>
      <c r="H240" s="3">
        <v>77.72</v>
      </c>
      <c r="I240" s="3">
        <v>247.87</v>
      </c>
      <c r="J240" s="3">
        <v>85</v>
      </c>
      <c r="K240" s="3">
        <v>14.5</v>
      </c>
      <c r="L240">
        <v>0.32250000000000001</v>
      </c>
      <c r="M240">
        <v>8</v>
      </c>
    </row>
    <row r="241" spans="1:13">
      <c r="A241" s="3">
        <v>2025</v>
      </c>
      <c r="B241" s="3" t="s">
        <v>12</v>
      </c>
      <c r="C241" s="3" t="s">
        <v>8</v>
      </c>
      <c r="D241" s="3">
        <v>14</v>
      </c>
      <c r="E241" s="3">
        <v>73.489999999999995</v>
      </c>
      <c r="F241" s="3">
        <v>75.25</v>
      </c>
      <c r="G241" s="3">
        <f t="shared" si="3"/>
        <v>75.25</v>
      </c>
      <c r="H241" s="3">
        <v>62.19</v>
      </c>
      <c r="I241" s="3">
        <v>193.78</v>
      </c>
      <c r="J241" s="3">
        <v>80</v>
      </c>
      <c r="K241" s="3">
        <v>12.4</v>
      </c>
      <c r="L241">
        <v>0.58289999999999997</v>
      </c>
      <c r="M241">
        <v>6</v>
      </c>
    </row>
    <row r="242" spans="1:13">
      <c r="A242" s="3">
        <v>2025</v>
      </c>
      <c r="B242" s="3" t="s">
        <v>12</v>
      </c>
      <c r="C242" s="3" t="s">
        <v>8</v>
      </c>
      <c r="D242" s="3">
        <v>15</v>
      </c>
      <c r="E242" s="3">
        <v>75.53</v>
      </c>
      <c r="F242" s="3">
        <v>73.63</v>
      </c>
      <c r="G242" s="3">
        <f t="shared" si="3"/>
        <v>75.53</v>
      </c>
      <c r="H242" s="3">
        <v>66.09</v>
      </c>
      <c r="I242" s="3">
        <v>191.69</v>
      </c>
      <c r="J242" s="3">
        <v>80</v>
      </c>
      <c r="K242" s="3">
        <v>14</v>
      </c>
      <c r="L242">
        <v>0.96640000000000004</v>
      </c>
      <c r="M242">
        <v>5</v>
      </c>
    </row>
    <row r="243" spans="1:13">
      <c r="A243" s="3">
        <v>2025</v>
      </c>
      <c r="B243" s="3" t="s">
        <v>12</v>
      </c>
      <c r="C243" s="3" t="s">
        <v>9</v>
      </c>
      <c r="D243" s="3">
        <v>1</v>
      </c>
      <c r="E243" s="3">
        <v>73.760000000000005</v>
      </c>
      <c r="F243" s="3">
        <v>70.66</v>
      </c>
      <c r="G243" s="3">
        <f t="shared" si="3"/>
        <v>73.760000000000005</v>
      </c>
      <c r="H243" s="3">
        <v>65.72</v>
      </c>
      <c r="I243" s="3">
        <v>178.09</v>
      </c>
      <c r="J243" s="3">
        <v>75</v>
      </c>
      <c r="K243" s="3">
        <v>13.9</v>
      </c>
      <c r="L243">
        <v>0.21199999999999999</v>
      </c>
      <c r="M243">
        <v>6</v>
      </c>
    </row>
    <row r="244" spans="1:13">
      <c r="A244" s="3">
        <v>2025</v>
      </c>
      <c r="B244" s="3" t="s">
        <v>12</v>
      </c>
      <c r="C244" s="3" t="s">
        <v>9</v>
      </c>
      <c r="D244" s="3">
        <v>2</v>
      </c>
      <c r="E244" s="3">
        <v>76.8</v>
      </c>
      <c r="F244" s="3">
        <v>77.040000000000006</v>
      </c>
      <c r="G244" s="3">
        <f t="shared" si="3"/>
        <v>77.040000000000006</v>
      </c>
      <c r="H244" s="3">
        <v>68.73</v>
      </c>
      <c r="I244" s="3">
        <v>215.25</v>
      </c>
      <c r="J244" s="3">
        <v>80</v>
      </c>
      <c r="K244" s="3">
        <v>13.3</v>
      </c>
      <c r="L244">
        <v>0.57779999999999998</v>
      </c>
      <c r="M244">
        <v>5</v>
      </c>
    </row>
    <row r="245" spans="1:13">
      <c r="A245" s="3">
        <v>2025</v>
      </c>
      <c r="B245" s="3" t="s">
        <v>12</v>
      </c>
      <c r="C245" s="3" t="s">
        <v>9</v>
      </c>
      <c r="D245" s="3">
        <v>3</v>
      </c>
      <c r="E245" s="3">
        <v>69.489999999999995</v>
      </c>
      <c r="F245" s="3">
        <v>65.41</v>
      </c>
      <c r="G245" s="3">
        <f t="shared" si="3"/>
        <v>69.489999999999995</v>
      </c>
      <c r="H245" s="3">
        <v>61.59</v>
      </c>
      <c r="I245" s="3">
        <v>138.62</v>
      </c>
      <c r="J245" s="3">
        <v>70</v>
      </c>
      <c r="K245" s="3">
        <v>13</v>
      </c>
      <c r="L245">
        <v>0.66800000000000004</v>
      </c>
      <c r="M245">
        <v>4</v>
      </c>
    </row>
    <row r="246" spans="1:13">
      <c r="A246" s="3">
        <v>2025</v>
      </c>
      <c r="B246" s="3" t="s">
        <v>12</v>
      </c>
      <c r="C246" s="3" t="s">
        <v>9</v>
      </c>
      <c r="D246" s="3">
        <v>4</v>
      </c>
      <c r="E246" s="3">
        <v>65.66</v>
      </c>
      <c r="F246" s="3">
        <v>63.17</v>
      </c>
      <c r="G246" s="3">
        <f t="shared" si="3"/>
        <v>65.66</v>
      </c>
      <c r="H246" s="3">
        <v>54.24</v>
      </c>
      <c r="I246" s="3">
        <v>126.11</v>
      </c>
      <c r="J246" s="3">
        <v>80</v>
      </c>
      <c r="K246" s="3">
        <v>11.8</v>
      </c>
      <c r="L246">
        <v>0.93289999999999995</v>
      </c>
      <c r="M246">
        <v>2</v>
      </c>
    </row>
    <row r="247" spans="1:13">
      <c r="A247" s="3">
        <v>2025</v>
      </c>
      <c r="B247" s="3" t="s">
        <v>12</v>
      </c>
      <c r="C247" s="3" t="s">
        <v>9</v>
      </c>
      <c r="D247" s="3">
        <v>5</v>
      </c>
      <c r="E247" s="3">
        <v>66.3</v>
      </c>
      <c r="F247" s="3">
        <v>66.209999999999994</v>
      </c>
      <c r="G247" s="3">
        <f t="shared" si="3"/>
        <v>66.3</v>
      </c>
      <c r="H247" s="3">
        <v>58.86</v>
      </c>
      <c r="I247" s="3">
        <v>133.47</v>
      </c>
      <c r="J247" s="3">
        <v>75</v>
      </c>
      <c r="K247" s="3">
        <v>12</v>
      </c>
      <c r="L247">
        <v>0.85460000000000003</v>
      </c>
      <c r="M247">
        <v>1</v>
      </c>
    </row>
    <row r="248" spans="1:13">
      <c r="A248" s="3">
        <v>2025</v>
      </c>
      <c r="B248" s="3" t="s">
        <v>12</v>
      </c>
      <c r="C248" s="3" t="s">
        <v>9</v>
      </c>
      <c r="D248" s="3">
        <v>6</v>
      </c>
      <c r="E248" s="3">
        <v>75.349999999999994</v>
      </c>
      <c r="F248" s="3">
        <v>73.459999999999994</v>
      </c>
      <c r="G248" s="3">
        <f t="shared" si="3"/>
        <v>75.349999999999994</v>
      </c>
      <c r="H248" s="3">
        <v>63.19</v>
      </c>
      <c r="I248" s="3">
        <v>181.31</v>
      </c>
      <c r="J248" s="3">
        <v>75</v>
      </c>
      <c r="K248" s="3">
        <v>12.4</v>
      </c>
      <c r="L248">
        <v>0.95660000000000001</v>
      </c>
      <c r="M248">
        <v>3</v>
      </c>
    </row>
    <row r="249" spans="1:13">
      <c r="A249" s="3">
        <v>2025</v>
      </c>
      <c r="B249" s="3" t="s">
        <v>12</v>
      </c>
      <c r="C249" s="3" t="s">
        <v>9</v>
      </c>
      <c r="D249" s="3">
        <v>7</v>
      </c>
      <c r="E249" s="3">
        <v>68.92</v>
      </c>
      <c r="F249" s="3">
        <v>69.67</v>
      </c>
      <c r="G249" s="3">
        <f t="shared" si="3"/>
        <v>69.67</v>
      </c>
      <c r="H249" s="3">
        <v>67.02</v>
      </c>
      <c r="I249" s="3">
        <v>159.74</v>
      </c>
      <c r="J249" s="3">
        <v>90</v>
      </c>
      <c r="K249" s="3">
        <v>13.9</v>
      </c>
      <c r="L249">
        <v>0.38790000000000002</v>
      </c>
      <c r="M249">
        <v>5</v>
      </c>
    </row>
    <row r="250" spans="1:13">
      <c r="A250" s="3">
        <v>2025</v>
      </c>
      <c r="B250" s="3" t="s">
        <v>12</v>
      </c>
      <c r="C250" s="3" t="s">
        <v>9</v>
      </c>
      <c r="D250" s="3">
        <v>8</v>
      </c>
      <c r="E250" s="3">
        <v>78.959999999999994</v>
      </c>
      <c r="F250" s="3">
        <v>76.28</v>
      </c>
      <c r="G250" s="3">
        <f t="shared" si="3"/>
        <v>78.959999999999994</v>
      </c>
      <c r="H250" s="3">
        <v>64.45</v>
      </c>
      <c r="I250" s="3">
        <v>202.7</v>
      </c>
      <c r="J250" s="3">
        <v>95</v>
      </c>
      <c r="K250" s="3">
        <v>13.9</v>
      </c>
      <c r="L250">
        <v>0.43169999999999997</v>
      </c>
      <c r="M250">
        <v>5</v>
      </c>
    </row>
    <row r="251" spans="1:13">
      <c r="A251" s="3">
        <v>2025</v>
      </c>
      <c r="B251" s="3" t="s">
        <v>12</v>
      </c>
      <c r="C251" s="3" t="s">
        <v>9</v>
      </c>
      <c r="D251" s="3">
        <v>9</v>
      </c>
      <c r="E251" s="3">
        <v>74.28</v>
      </c>
      <c r="F251" s="3">
        <v>73.569999999999993</v>
      </c>
      <c r="G251" s="3">
        <f t="shared" si="3"/>
        <v>74.28</v>
      </c>
      <c r="H251" s="3">
        <v>60.19</v>
      </c>
      <c r="I251" s="3">
        <v>177.32</v>
      </c>
      <c r="J251" s="3">
        <v>60</v>
      </c>
      <c r="K251" s="3">
        <v>14.3</v>
      </c>
      <c r="L251">
        <v>0.55420000000000003</v>
      </c>
      <c r="M251">
        <v>6</v>
      </c>
    </row>
    <row r="252" spans="1:13">
      <c r="A252" s="3">
        <v>2025</v>
      </c>
      <c r="B252" s="3" t="s">
        <v>12</v>
      </c>
      <c r="C252" s="3" t="s">
        <v>9</v>
      </c>
      <c r="D252" s="3">
        <v>10</v>
      </c>
      <c r="E252" s="3">
        <v>72.95</v>
      </c>
      <c r="F252" s="3">
        <v>71.680000000000007</v>
      </c>
      <c r="G252" s="3">
        <f t="shared" si="3"/>
        <v>72.95</v>
      </c>
      <c r="H252" s="3">
        <v>64.209999999999994</v>
      </c>
      <c r="I252" s="3">
        <v>183.48</v>
      </c>
      <c r="J252" s="3">
        <v>95</v>
      </c>
      <c r="K252" s="3">
        <v>13.8</v>
      </c>
      <c r="L252">
        <v>0.20610000000000001</v>
      </c>
      <c r="M252">
        <v>7</v>
      </c>
    </row>
    <row r="253" spans="1:13">
      <c r="A253" s="3">
        <v>2025</v>
      </c>
      <c r="B253" s="3" t="s">
        <v>12</v>
      </c>
      <c r="C253" s="3" t="s">
        <v>9</v>
      </c>
      <c r="D253" s="3">
        <v>11</v>
      </c>
      <c r="E253" s="3">
        <v>65.650000000000006</v>
      </c>
      <c r="F253" s="3">
        <v>69.88</v>
      </c>
      <c r="G253" s="3">
        <f t="shared" si="3"/>
        <v>69.88</v>
      </c>
      <c r="H253" s="3">
        <v>61.17</v>
      </c>
      <c r="I253" s="3">
        <v>149.51</v>
      </c>
      <c r="J253" s="3">
        <v>60</v>
      </c>
      <c r="K253" s="3">
        <v>13.7</v>
      </c>
      <c r="L253">
        <v>0.56999999999999995</v>
      </c>
      <c r="M253">
        <v>2</v>
      </c>
    </row>
    <row r="254" spans="1:13">
      <c r="A254" s="3">
        <v>2025</v>
      </c>
      <c r="B254" s="3" t="s">
        <v>12</v>
      </c>
      <c r="C254" s="3" t="s">
        <v>9</v>
      </c>
      <c r="D254" s="3">
        <v>12</v>
      </c>
      <c r="E254" s="3">
        <v>72.61</v>
      </c>
      <c r="F254" s="3">
        <v>70.3</v>
      </c>
      <c r="G254" s="3">
        <f t="shared" si="3"/>
        <v>72.61</v>
      </c>
      <c r="H254" s="3">
        <v>61.49</v>
      </c>
      <c r="I254" s="3">
        <v>168.58</v>
      </c>
      <c r="J254" s="3">
        <v>65</v>
      </c>
      <c r="K254" s="3">
        <v>13.8</v>
      </c>
      <c r="L254">
        <v>0.85019999999999996</v>
      </c>
      <c r="M254">
        <v>1</v>
      </c>
    </row>
    <row r="255" spans="1:13">
      <c r="A255" s="3">
        <v>2025</v>
      </c>
      <c r="B255" s="3" t="s">
        <v>12</v>
      </c>
      <c r="C255" s="3" t="s">
        <v>9</v>
      </c>
      <c r="D255" s="3">
        <v>13</v>
      </c>
      <c r="E255" s="3">
        <v>70.67</v>
      </c>
      <c r="F255" s="3">
        <v>69.400000000000006</v>
      </c>
      <c r="G255" s="3">
        <f t="shared" si="3"/>
        <v>70.67</v>
      </c>
      <c r="H255" s="3">
        <v>60.89</v>
      </c>
      <c r="I255" s="3">
        <v>160.6</v>
      </c>
      <c r="J255" s="3">
        <v>80</v>
      </c>
      <c r="K255" s="3">
        <v>13.4</v>
      </c>
      <c r="L255">
        <v>0.46489999999999998</v>
      </c>
      <c r="M255">
        <v>4</v>
      </c>
    </row>
    <row r="256" spans="1:13">
      <c r="A256" s="3">
        <v>2025</v>
      </c>
      <c r="B256" s="3" t="s">
        <v>12</v>
      </c>
      <c r="C256" s="3" t="s">
        <v>9</v>
      </c>
      <c r="D256" s="3">
        <v>14</v>
      </c>
      <c r="E256" s="3">
        <v>74.44</v>
      </c>
      <c r="F256" s="3">
        <v>73.680000000000007</v>
      </c>
      <c r="G256" s="3">
        <f t="shared" si="3"/>
        <v>74.44</v>
      </c>
      <c r="H256" s="3">
        <v>60.81</v>
      </c>
      <c r="I256" s="3">
        <v>182.02</v>
      </c>
      <c r="J256" s="3">
        <v>75</v>
      </c>
      <c r="K256" s="3">
        <v>13.1</v>
      </c>
      <c r="L256">
        <v>0.47499999999999998</v>
      </c>
      <c r="M256">
        <v>6</v>
      </c>
    </row>
    <row r="257" spans="1:13">
      <c r="A257" s="3">
        <v>2025</v>
      </c>
      <c r="B257" s="3" t="s">
        <v>12</v>
      </c>
      <c r="C257" s="3" t="s">
        <v>9</v>
      </c>
      <c r="D257" s="3">
        <v>15</v>
      </c>
      <c r="E257" s="3">
        <v>77.819999999999993</v>
      </c>
      <c r="F257" s="3">
        <v>77.64</v>
      </c>
      <c r="G257" s="3">
        <f t="shared" si="3"/>
        <v>77.819999999999993</v>
      </c>
      <c r="H257" s="3">
        <v>69.8</v>
      </c>
      <c r="I257" s="3">
        <v>223.58</v>
      </c>
      <c r="J257" s="3">
        <v>85</v>
      </c>
      <c r="K257" s="3">
        <v>13.3</v>
      </c>
      <c r="L257">
        <v>0.33069999999999999</v>
      </c>
      <c r="M257">
        <v>3</v>
      </c>
    </row>
    <row r="258" spans="1:13">
      <c r="A258" s="3">
        <v>2025</v>
      </c>
      <c r="B258" s="3" t="s">
        <v>12</v>
      </c>
      <c r="C258" s="3" t="s">
        <v>10</v>
      </c>
      <c r="D258" s="3">
        <v>1</v>
      </c>
      <c r="E258" s="3">
        <v>72.040000000000006</v>
      </c>
      <c r="F258" s="3">
        <v>71.650000000000006</v>
      </c>
      <c r="G258" s="3">
        <f t="shared" si="3"/>
        <v>72.040000000000006</v>
      </c>
      <c r="H258" s="3">
        <v>61.43</v>
      </c>
      <c r="I258" s="3">
        <v>170.2</v>
      </c>
      <c r="J258" s="3">
        <v>75</v>
      </c>
      <c r="K258" s="3">
        <v>15.6</v>
      </c>
      <c r="L258">
        <v>0.22770000000000001</v>
      </c>
      <c r="M258">
        <v>8</v>
      </c>
    </row>
    <row r="259" spans="1:13">
      <c r="A259" s="3">
        <v>2025</v>
      </c>
      <c r="B259" s="3" t="s">
        <v>12</v>
      </c>
      <c r="C259" s="3" t="s">
        <v>10</v>
      </c>
      <c r="D259" s="3">
        <v>2</v>
      </c>
      <c r="E259" s="3">
        <v>74.83</v>
      </c>
      <c r="F259" s="3">
        <v>74.59</v>
      </c>
      <c r="G259" s="3">
        <f t="shared" si="3"/>
        <v>74.83</v>
      </c>
      <c r="H259" s="3">
        <v>69.78</v>
      </c>
      <c r="I259" s="3">
        <v>195.46</v>
      </c>
      <c r="J259" s="3">
        <v>85</v>
      </c>
      <c r="K259" s="3">
        <v>16.2</v>
      </c>
      <c r="L259">
        <v>0.28720000000000001</v>
      </c>
      <c r="M259">
        <v>8</v>
      </c>
    </row>
    <row r="260" spans="1:13">
      <c r="A260" s="3">
        <v>2025</v>
      </c>
      <c r="B260" s="3" t="s">
        <v>12</v>
      </c>
      <c r="C260" s="3" t="s">
        <v>10</v>
      </c>
      <c r="D260" s="3">
        <v>3</v>
      </c>
      <c r="E260" s="3">
        <v>79.53</v>
      </c>
      <c r="F260" s="3">
        <v>82.28</v>
      </c>
      <c r="G260" s="3">
        <f t="shared" ref="G260:G302" si="4">MAX(E260:F260)</f>
        <v>82.28</v>
      </c>
      <c r="H260" s="3">
        <v>69.03</v>
      </c>
      <c r="I260" s="3">
        <v>231.12</v>
      </c>
      <c r="J260" s="3">
        <v>95</v>
      </c>
      <c r="K260" s="3">
        <v>13.7</v>
      </c>
      <c r="L260">
        <v>0.53259999999999996</v>
      </c>
      <c r="M260">
        <v>8</v>
      </c>
    </row>
    <row r="261" spans="1:13">
      <c r="A261" s="3">
        <v>2025</v>
      </c>
      <c r="B261" s="3" t="s">
        <v>12</v>
      </c>
      <c r="C261" s="3" t="s">
        <v>10</v>
      </c>
      <c r="D261" s="3">
        <v>4</v>
      </c>
      <c r="E261" s="3">
        <v>76.03</v>
      </c>
      <c r="F261" s="3">
        <v>70.62</v>
      </c>
      <c r="G261" s="3">
        <f t="shared" si="4"/>
        <v>76.03</v>
      </c>
      <c r="H261" s="3">
        <v>66.27</v>
      </c>
      <c r="I261" s="3">
        <v>189.16</v>
      </c>
      <c r="J261" s="3">
        <v>70</v>
      </c>
      <c r="K261" s="3">
        <v>13.8</v>
      </c>
      <c r="L261">
        <v>0.68969999999999998</v>
      </c>
      <c r="M261">
        <v>9</v>
      </c>
    </row>
    <row r="262" spans="1:13">
      <c r="A262" s="3">
        <v>2025</v>
      </c>
      <c r="B262" s="3" t="s">
        <v>12</v>
      </c>
      <c r="C262" s="3" t="s">
        <v>10</v>
      </c>
      <c r="D262" s="3">
        <v>5</v>
      </c>
      <c r="E262" s="3">
        <v>77.86</v>
      </c>
      <c r="F262" s="3">
        <v>77.63</v>
      </c>
      <c r="G262" s="3">
        <f t="shared" si="4"/>
        <v>77.86</v>
      </c>
      <c r="H262" s="3">
        <v>68.48</v>
      </c>
      <c r="I262" s="3">
        <v>213.05</v>
      </c>
      <c r="J262" s="3">
        <v>80</v>
      </c>
      <c r="K262" s="3">
        <v>12.8</v>
      </c>
      <c r="L262">
        <v>0.72760000000000002</v>
      </c>
      <c r="M262">
        <v>6</v>
      </c>
    </row>
    <row r="263" spans="1:13">
      <c r="A263" s="3">
        <v>2025</v>
      </c>
      <c r="B263" s="3" t="s">
        <v>12</v>
      </c>
      <c r="C263" s="3" t="s">
        <v>10</v>
      </c>
      <c r="D263" s="3">
        <v>6</v>
      </c>
      <c r="E263" s="3">
        <v>70.75</v>
      </c>
      <c r="F263" s="3">
        <v>72.83</v>
      </c>
      <c r="G263" s="3">
        <f t="shared" si="4"/>
        <v>72.83</v>
      </c>
      <c r="H263" s="3">
        <v>60.99</v>
      </c>
      <c r="I263" s="3">
        <v>161.68</v>
      </c>
      <c r="J263" s="3">
        <v>85</v>
      </c>
      <c r="K263" s="3">
        <v>12</v>
      </c>
      <c r="L263">
        <v>0.58530000000000004</v>
      </c>
      <c r="M263">
        <v>5</v>
      </c>
    </row>
    <row r="264" spans="1:13">
      <c r="A264" s="3">
        <v>2025</v>
      </c>
      <c r="B264" s="3" t="s">
        <v>12</v>
      </c>
      <c r="C264" s="3" t="s">
        <v>10</v>
      </c>
      <c r="D264" s="3">
        <v>7</v>
      </c>
      <c r="E264" s="3">
        <v>69.849999999999994</v>
      </c>
      <c r="F264" s="3">
        <v>70.38</v>
      </c>
      <c r="G264" s="3">
        <f t="shared" si="4"/>
        <v>70.38</v>
      </c>
      <c r="H264" s="3">
        <v>62.9</v>
      </c>
      <c r="I264" s="3">
        <v>158.33000000000001</v>
      </c>
      <c r="J264" s="3">
        <v>80</v>
      </c>
      <c r="K264" s="3">
        <v>12</v>
      </c>
      <c r="L264">
        <v>0.79710000000000003</v>
      </c>
      <c r="M264">
        <v>5</v>
      </c>
    </row>
    <row r="265" spans="1:13">
      <c r="A265" s="3">
        <v>2025</v>
      </c>
      <c r="B265" s="3" t="s">
        <v>12</v>
      </c>
      <c r="C265" s="3" t="s">
        <v>10</v>
      </c>
      <c r="D265" s="3">
        <v>8</v>
      </c>
      <c r="E265" s="3">
        <v>73.19</v>
      </c>
      <c r="F265" s="3">
        <v>73.73</v>
      </c>
      <c r="G265" s="3">
        <f t="shared" si="4"/>
        <v>73.73</v>
      </c>
      <c r="H265" s="3">
        <v>62.09</v>
      </c>
      <c r="I265" s="3">
        <v>180.76</v>
      </c>
      <c r="J265" s="3">
        <v>65</v>
      </c>
      <c r="K265" s="3">
        <v>13.3</v>
      </c>
      <c r="L265">
        <v>0.85880000000000001</v>
      </c>
      <c r="M265">
        <v>5</v>
      </c>
    </row>
    <row r="266" spans="1:13">
      <c r="A266" s="3">
        <v>2025</v>
      </c>
      <c r="B266" s="3" t="s">
        <v>12</v>
      </c>
      <c r="C266" s="3" t="s">
        <v>10</v>
      </c>
      <c r="D266" s="3">
        <v>9</v>
      </c>
      <c r="E266" s="3">
        <v>68.72</v>
      </c>
      <c r="F266" s="3">
        <v>67.760000000000005</v>
      </c>
      <c r="G266" s="3">
        <f t="shared" si="4"/>
        <v>68.72</v>
      </c>
      <c r="H266" s="3">
        <v>60.08</v>
      </c>
      <c r="I266" s="3">
        <v>145.77000000000001</v>
      </c>
      <c r="J266" s="3">
        <v>75</v>
      </c>
      <c r="K266" s="3">
        <v>13</v>
      </c>
      <c r="L266">
        <v>0.95509999999999995</v>
      </c>
      <c r="M266">
        <v>4</v>
      </c>
    </row>
    <row r="267" spans="1:13">
      <c r="A267" s="3">
        <v>2025</v>
      </c>
      <c r="B267" s="3" t="s">
        <v>12</v>
      </c>
      <c r="C267" s="3" t="s">
        <v>10</v>
      </c>
      <c r="D267" s="3">
        <v>10</v>
      </c>
      <c r="E267" s="3">
        <v>66.69</v>
      </c>
      <c r="F267" s="3">
        <v>67.930000000000007</v>
      </c>
      <c r="G267" s="3">
        <f t="shared" si="4"/>
        <v>67.930000000000007</v>
      </c>
      <c r="H267" s="3">
        <v>58.78</v>
      </c>
      <c r="I267" s="3">
        <v>144.57</v>
      </c>
      <c r="J267" s="3">
        <v>90</v>
      </c>
      <c r="K267" s="3">
        <v>13.8</v>
      </c>
      <c r="L267">
        <v>0.63119999999999998</v>
      </c>
      <c r="M267">
        <v>4</v>
      </c>
    </row>
    <row r="268" spans="1:13">
      <c r="A268" s="3">
        <v>2025</v>
      </c>
      <c r="B268" s="3" t="s">
        <v>12</v>
      </c>
      <c r="C268" s="3" t="s">
        <v>10</v>
      </c>
      <c r="D268" s="3">
        <v>11</v>
      </c>
      <c r="E268" s="3">
        <v>75.430000000000007</v>
      </c>
      <c r="F268" s="3">
        <v>76.44</v>
      </c>
      <c r="G268" s="3">
        <f t="shared" si="4"/>
        <v>76.44</v>
      </c>
      <c r="H268" s="3">
        <v>69.89</v>
      </c>
      <c r="I268" s="3">
        <v>200.19</v>
      </c>
      <c r="J268" s="3">
        <v>85</v>
      </c>
      <c r="K268" s="3">
        <v>14.3</v>
      </c>
      <c r="L268">
        <v>0.84870000000000001</v>
      </c>
      <c r="M268">
        <v>6</v>
      </c>
    </row>
    <row r="269" spans="1:13">
      <c r="A269" s="3">
        <v>2025</v>
      </c>
      <c r="B269" s="3" t="s">
        <v>12</v>
      </c>
      <c r="C269" s="3" t="s">
        <v>10</v>
      </c>
      <c r="D269" s="3">
        <v>12</v>
      </c>
      <c r="E269" s="3">
        <v>75.09</v>
      </c>
      <c r="F269" s="3">
        <v>74.72</v>
      </c>
      <c r="G269" s="3">
        <f t="shared" si="4"/>
        <v>75.09</v>
      </c>
      <c r="H269" s="3">
        <v>71.28</v>
      </c>
      <c r="I269" s="3">
        <v>205.02</v>
      </c>
      <c r="J269" s="3">
        <v>85</v>
      </c>
      <c r="K269" s="3">
        <v>13</v>
      </c>
      <c r="L269">
        <v>0.53869999999999996</v>
      </c>
      <c r="M269">
        <v>8</v>
      </c>
    </row>
    <row r="270" spans="1:13">
      <c r="A270" s="3">
        <v>2025</v>
      </c>
      <c r="B270" s="3" t="s">
        <v>12</v>
      </c>
      <c r="C270" s="3" t="s">
        <v>10</v>
      </c>
      <c r="D270" s="3">
        <v>13</v>
      </c>
      <c r="E270" s="3">
        <v>69.099999999999994</v>
      </c>
      <c r="F270" s="3">
        <v>70.09</v>
      </c>
      <c r="G270" s="3">
        <f t="shared" si="4"/>
        <v>70.09</v>
      </c>
      <c r="H270" s="3">
        <v>62.77</v>
      </c>
      <c r="I270" s="3">
        <v>153.81</v>
      </c>
      <c r="J270" s="3">
        <v>90</v>
      </c>
      <c r="K270" s="3">
        <v>14.1</v>
      </c>
      <c r="L270">
        <v>0.49890000000000001</v>
      </c>
      <c r="M270">
        <v>6</v>
      </c>
    </row>
    <row r="271" spans="1:13">
      <c r="A271" s="3">
        <v>2025</v>
      </c>
      <c r="B271" s="3" t="s">
        <v>12</v>
      </c>
      <c r="C271" s="3" t="s">
        <v>10</v>
      </c>
      <c r="D271" s="3">
        <v>14</v>
      </c>
      <c r="E271" s="3">
        <v>73.459999999999994</v>
      </c>
      <c r="F271" s="3">
        <v>72.66</v>
      </c>
      <c r="G271" s="3">
        <f t="shared" si="4"/>
        <v>73.459999999999994</v>
      </c>
      <c r="H271" s="3">
        <v>65.09</v>
      </c>
      <c r="I271" s="3">
        <v>173.02</v>
      </c>
      <c r="J271" s="3">
        <v>90</v>
      </c>
      <c r="K271" s="3">
        <v>13.2</v>
      </c>
      <c r="L271">
        <v>0.61609999999999998</v>
      </c>
      <c r="M271">
        <v>6</v>
      </c>
    </row>
    <row r="272" spans="1:13">
      <c r="A272" s="3">
        <v>2025</v>
      </c>
      <c r="B272" s="3" t="s">
        <v>12</v>
      </c>
      <c r="C272" s="3" t="s">
        <v>10</v>
      </c>
      <c r="D272" s="3">
        <v>15</v>
      </c>
      <c r="E272" s="3">
        <v>71.56</v>
      </c>
      <c r="F272" s="3">
        <v>75.930000000000007</v>
      </c>
      <c r="G272" s="3">
        <f t="shared" si="4"/>
        <v>75.930000000000007</v>
      </c>
      <c r="H272" s="3">
        <v>66.23</v>
      </c>
      <c r="I272" s="3">
        <v>192.04</v>
      </c>
      <c r="J272" s="3">
        <v>85</v>
      </c>
      <c r="K272" s="3">
        <v>14</v>
      </c>
      <c r="L272">
        <v>0.34260000000000002</v>
      </c>
      <c r="M272">
        <v>8</v>
      </c>
    </row>
    <row r="273" spans="1:13">
      <c r="A273" s="3">
        <v>2025</v>
      </c>
      <c r="B273" s="3" t="s">
        <v>12</v>
      </c>
      <c r="C273" s="3" t="s">
        <v>7</v>
      </c>
      <c r="D273" s="3">
        <v>1</v>
      </c>
      <c r="E273" s="3">
        <v>74.47</v>
      </c>
      <c r="F273" s="3">
        <v>76.61</v>
      </c>
      <c r="G273" s="3">
        <f t="shared" si="4"/>
        <v>76.61</v>
      </c>
      <c r="H273" s="3">
        <v>68.489999999999995</v>
      </c>
      <c r="I273" s="3">
        <v>204.3</v>
      </c>
      <c r="J273" s="3">
        <v>75</v>
      </c>
      <c r="K273" s="3">
        <v>14.2</v>
      </c>
      <c r="L273">
        <v>0.5595</v>
      </c>
      <c r="M273">
        <v>5</v>
      </c>
    </row>
    <row r="274" spans="1:13">
      <c r="A274" s="3">
        <v>2025</v>
      </c>
      <c r="B274" s="3" t="s">
        <v>12</v>
      </c>
      <c r="C274" s="3" t="s">
        <v>7</v>
      </c>
      <c r="D274" s="3">
        <v>2</v>
      </c>
      <c r="E274" s="3">
        <v>82.31</v>
      </c>
      <c r="F274" s="3">
        <v>79.959999999999994</v>
      </c>
      <c r="G274" s="3">
        <f t="shared" si="4"/>
        <v>82.31</v>
      </c>
      <c r="H274" s="3">
        <v>71.72</v>
      </c>
      <c r="I274" s="3">
        <v>241.65</v>
      </c>
      <c r="J274" s="3">
        <v>75</v>
      </c>
      <c r="K274" s="3">
        <v>12.6</v>
      </c>
      <c r="L274">
        <v>0.91110000000000002</v>
      </c>
      <c r="M274">
        <v>6</v>
      </c>
    </row>
    <row r="275" spans="1:13">
      <c r="A275" s="3">
        <v>2025</v>
      </c>
      <c r="B275" s="3" t="s">
        <v>12</v>
      </c>
      <c r="C275" s="3" t="s">
        <v>7</v>
      </c>
      <c r="D275" s="3">
        <v>3</v>
      </c>
      <c r="E275" s="3">
        <v>77.709999999999994</v>
      </c>
      <c r="F275" s="3">
        <v>78.84</v>
      </c>
      <c r="G275" s="3">
        <f t="shared" si="4"/>
        <v>78.84</v>
      </c>
      <c r="H275" s="3">
        <v>59.65</v>
      </c>
      <c r="I275" s="3">
        <v>188.35</v>
      </c>
      <c r="J275" s="3">
        <v>85</v>
      </c>
      <c r="K275" s="3">
        <v>14.7</v>
      </c>
      <c r="L275">
        <v>0.2636</v>
      </c>
      <c r="M275">
        <v>8</v>
      </c>
    </row>
    <row r="276" spans="1:13">
      <c r="A276" s="3">
        <v>2025</v>
      </c>
      <c r="B276" s="3" t="s">
        <v>12</v>
      </c>
      <c r="C276" s="3" t="s">
        <v>7</v>
      </c>
      <c r="D276" s="3">
        <v>4</v>
      </c>
      <c r="E276" s="3">
        <v>75.36</v>
      </c>
      <c r="F276" s="3">
        <v>77.13</v>
      </c>
      <c r="G276" s="3">
        <f t="shared" si="4"/>
        <v>77.13</v>
      </c>
      <c r="H276" s="3">
        <v>72.89</v>
      </c>
      <c r="I276" s="3">
        <v>200.6</v>
      </c>
      <c r="J276" s="3">
        <v>70</v>
      </c>
      <c r="K276" s="3">
        <v>14.3</v>
      </c>
      <c r="L276">
        <v>0.50139999999999996</v>
      </c>
      <c r="M276">
        <v>7</v>
      </c>
    </row>
    <row r="277" spans="1:13">
      <c r="A277" s="3">
        <v>2025</v>
      </c>
      <c r="B277" s="3" t="s">
        <v>12</v>
      </c>
      <c r="C277" s="3" t="s">
        <v>7</v>
      </c>
      <c r="D277" s="3">
        <v>5</v>
      </c>
      <c r="E277" s="3">
        <v>76.849999999999994</v>
      </c>
      <c r="F277" s="3">
        <v>73.150000000000006</v>
      </c>
      <c r="G277" s="3">
        <f t="shared" si="4"/>
        <v>76.849999999999994</v>
      </c>
      <c r="H277" s="3">
        <v>76.209999999999994</v>
      </c>
      <c r="I277" s="3">
        <v>215.71</v>
      </c>
      <c r="J277" s="3">
        <v>70</v>
      </c>
      <c r="K277" s="3">
        <v>13.8</v>
      </c>
      <c r="L277">
        <v>0.3795</v>
      </c>
      <c r="M277">
        <v>7</v>
      </c>
    </row>
    <row r="278" spans="1:13">
      <c r="A278" s="3">
        <v>2025</v>
      </c>
      <c r="B278" s="3" t="s">
        <v>12</v>
      </c>
      <c r="C278" s="3" t="s">
        <v>7</v>
      </c>
      <c r="D278" s="3">
        <v>6</v>
      </c>
      <c r="E278" s="3">
        <v>75.760000000000005</v>
      </c>
      <c r="F278" s="3">
        <v>75.62</v>
      </c>
      <c r="G278" s="3">
        <f t="shared" si="4"/>
        <v>75.760000000000005</v>
      </c>
      <c r="H278" s="3">
        <v>66.5</v>
      </c>
      <c r="I278" s="3">
        <v>197.71</v>
      </c>
      <c r="J278" s="3">
        <v>80</v>
      </c>
      <c r="K278" s="3">
        <v>14.2</v>
      </c>
      <c r="L278">
        <v>0.62319999999999998</v>
      </c>
      <c r="M278">
        <v>6</v>
      </c>
    </row>
    <row r="279" spans="1:13">
      <c r="A279" s="3">
        <v>2025</v>
      </c>
      <c r="B279" s="3" t="s">
        <v>12</v>
      </c>
      <c r="C279" s="3" t="s">
        <v>7</v>
      </c>
      <c r="D279" s="3">
        <v>7</v>
      </c>
      <c r="E279" s="3">
        <v>81.650000000000006</v>
      </c>
      <c r="F279" s="3">
        <v>81.39</v>
      </c>
      <c r="G279" s="3">
        <f t="shared" si="4"/>
        <v>81.650000000000006</v>
      </c>
      <c r="H279" s="3">
        <v>71.150000000000006</v>
      </c>
      <c r="I279" s="3">
        <v>235.67</v>
      </c>
      <c r="J279" s="3">
        <v>70</v>
      </c>
      <c r="K279" s="3">
        <v>13.4</v>
      </c>
      <c r="L279">
        <v>0.75949999999999995</v>
      </c>
      <c r="M279">
        <v>5</v>
      </c>
    </row>
    <row r="280" spans="1:13">
      <c r="A280" s="3">
        <v>2025</v>
      </c>
      <c r="B280" s="3" t="s">
        <v>12</v>
      </c>
      <c r="C280" s="3" t="s">
        <v>7</v>
      </c>
      <c r="D280" s="3">
        <v>8</v>
      </c>
      <c r="E280" s="3">
        <v>76.23</v>
      </c>
      <c r="F280" s="3">
        <v>75.099999999999994</v>
      </c>
      <c r="G280" s="3">
        <f t="shared" si="4"/>
        <v>76.23</v>
      </c>
      <c r="H280" s="3">
        <v>70.010000000000005</v>
      </c>
      <c r="I280" s="3">
        <v>203.84</v>
      </c>
      <c r="J280" s="3">
        <v>85</v>
      </c>
      <c r="K280" s="3">
        <v>13.7</v>
      </c>
      <c r="L280">
        <v>0.5</v>
      </c>
      <c r="M280">
        <v>8</v>
      </c>
    </row>
    <row r="281" spans="1:13">
      <c r="A281" s="3">
        <v>2025</v>
      </c>
      <c r="B281" s="3" t="s">
        <v>12</v>
      </c>
      <c r="C281" s="3" t="s">
        <v>7</v>
      </c>
      <c r="D281" s="3">
        <v>9</v>
      </c>
      <c r="E281" s="3">
        <v>76.739999999999995</v>
      </c>
      <c r="F281" s="3">
        <v>76.099999999999994</v>
      </c>
      <c r="G281" s="3">
        <f t="shared" si="4"/>
        <v>76.739999999999995</v>
      </c>
      <c r="H281" s="3">
        <v>63.73</v>
      </c>
      <c r="I281" s="3">
        <v>192.23</v>
      </c>
      <c r="J281" s="3">
        <v>70</v>
      </c>
      <c r="K281" s="3">
        <v>13.3</v>
      </c>
      <c r="L281">
        <v>0.78380000000000005</v>
      </c>
      <c r="M281">
        <v>4</v>
      </c>
    </row>
    <row r="282" spans="1:13">
      <c r="A282" s="3">
        <v>2025</v>
      </c>
      <c r="B282" s="3" t="s">
        <v>12</v>
      </c>
      <c r="C282" s="3" t="s">
        <v>7</v>
      </c>
      <c r="D282" s="3">
        <v>10</v>
      </c>
      <c r="E282" s="3">
        <v>69.05</v>
      </c>
      <c r="F282" s="3">
        <v>68.47</v>
      </c>
      <c r="G282" s="3">
        <f t="shared" si="4"/>
        <v>69.05</v>
      </c>
      <c r="H282" s="3">
        <v>59.47</v>
      </c>
      <c r="I282" s="3">
        <v>154.1</v>
      </c>
      <c r="J282" s="3">
        <v>80</v>
      </c>
      <c r="K282" s="3">
        <v>14.6</v>
      </c>
      <c r="L282">
        <v>0.621</v>
      </c>
      <c r="M282">
        <v>4</v>
      </c>
    </row>
    <row r="283" spans="1:13">
      <c r="A283" s="3">
        <v>2025</v>
      </c>
      <c r="B283" s="3" t="s">
        <v>12</v>
      </c>
      <c r="C283" s="3" t="s">
        <v>7</v>
      </c>
      <c r="D283" s="3">
        <v>11</v>
      </c>
      <c r="E283" s="3">
        <v>77</v>
      </c>
      <c r="F283" s="3">
        <v>81.209999999999994</v>
      </c>
      <c r="G283" s="3">
        <f t="shared" si="4"/>
        <v>81.209999999999994</v>
      </c>
      <c r="H283" s="3">
        <v>83.54</v>
      </c>
      <c r="I283" s="3">
        <v>272.55</v>
      </c>
      <c r="J283" s="3">
        <v>75</v>
      </c>
      <c r="K283" s="3">
        <v>14</v>
      </c>
      <c r="L283">
        <v>0.40849999999999997</v>
      </c>
      <c r="M283">
        <v>7</v>
      </c>
    </row>
    <row r="284" spans="1:13">
      <c r="A284" s="3">
        <v>2025</v>
      </c>
      <c r="B284" s="3" t="s">
        <v>12</v>
      </c>
      <c r="C284" s="3" t="s">
        <v>7</v>
      </c>
      <c r="D284" s="3">
        <v>12</v>
      </c>
      <c r="E284" s="3">
        <v>77.92</v>
      </c>
      <c r="F284" s="3">
        <v>79.53</v>
      </c>
      <c r="G284" s="3">
        <f t="shared" si="4"/>
        <v>79.53</v>
      </c>
      <c r="H284" s="3">
        <v>77.86</v>
      </c>
      <c r="I284" s="3">
        <v>254.03</v>
      </c>
      <c r="J284" s="3">
        <v>85</v>
      </c>
      <c r="K284" s="3">
        <v>13.9</v>
      </c>
      <c r="L284">
        <v>0.59889999999999999</v>
      </c>
      <c r="M284">
        <v>8</v>
      </c>
    </row>
    <row r="285" spans="1:13">
      <c r="A285" s="3">
        <v>2025</v>
      </c>
      <c r="B285" s="3" t="s">
        <v>12</v>
      </c>
      <c r="C285" s="3" t="s">
        <v>7</v>
      </c>
      <c r="D285" s="3">
        <v>13</v>
      </c>
      <c r="E285" s="3">
        <v>74.400000000000006</v>
      </c>
      <c r="F285" s="3">
        <v>75.150000000000006</v>
      </c>
      <c r="G285" s="3">
        <f t="shared" si="4"/>
        <v>75.150000000000006</v>
      </c>
      <c r="H285" s="3">
        <v>69.69</v>
      </c>
      <c r="I285" s="3">
        <v>197.58</v>
      </c>
      <c r="J285" s="3">
        <v>80</v>
      </c>
      <c r="K285" s="3">
        <v>13.3</v>
      </c>
      <c r="L285">
        <v>0.86319999999999997</v>
      </c>
      <c r="M285">
        <v>7</v>
      </c>
    </row>
    <row r="286" spans="1:13">
      <c r="A286" s="3">
        <v>2025</v>
      </c>
      <c r="B286" s="3" t="s">
        <v>12</v>
      </c>
      <c r="C286" s="3" t="s">
        <v>7</v>
      </c>
      <c r="D286" s="3">
        <v>14</v>
      </c>
      <c r="E286" s="3">
        <v>73.73</v>
      </c>
      <c r="F286" s="3">
        <v>76.75</v>
      </c>
      <c r="G286" s="3">
        <f t="shared" si="4"/>
        <v>76.75</v>
      </c>
      <c r="H286" s="3">
        <v>67.349999999999994</v>
      </c>
      <c r="I286" s="3">
        <v>208.35</v>
      </c>
      <c r="J286" s="3">
        <v>90</v>
      </c>
      <c r="K286" s="3">
        <v>13.4</v>
      </c>
      <c r="L286">
        <v>0.71099999999999997</v>
      </c>
      <c r="M286">
        <v>5</v>
      </c>
    </row>
    <row r="287" spans="1:13">
      <c r="A287" s="3">
        <v>2025</v>
      </c>
      <c r="B287" s="3" t="s">
        <v>12</v>
      </c>
      <c r="C287" s="3" t="s">
        <v>7</v>
      </c>
      <c r="D287" s="3">
        <v>15</v>
      </c>
      <c r="E287" s="3">
        <v>68.760000000000005</v>
      </c>
      <c r="F287" s="3">
        <v>70.989999999999995</v>
      </c>
      <c r="G287" s="3">
        <f t="shared" si="4"/>
        <v>70.989999999999995</v>
      </c>
      <c r="H287" s="3">
        <v>62.91</v>
      </c>
      <c r="I287" s="3">
        <v>160.5</v>
      </c>
      <c r="J287" s="3">
        <v>75</v>
      </c>
      <c r="K287" s="3">
        <v>16.399999999999999</v>
      </c>
      <c r="L287">
        <v>0.86019999999999996</v>
      </c>
      <c r="M287">
        <v>6</v>
      </c>
    </row>
    <row r="288" spans="1:13">
      <c r="A288" s="3">
        <v>2025</v>
      </c>
      <c r="B288" s="3" t="s">
        <v>12</v>
      </c>
      <c r="C288" s="3" t="s">
        <v>6</v>
      </c>
      <c r="D288" s="3">
        <v>1</v>
      </c>
      <c r="E288" s="3">
        <v>75.11</v>
      </c>
      <c r="F288" s="3">
        <v>71.37</v>
      </c>
      <c r="G288" s="3">
        <f t="shared" si="4"/>
        <v>75.11</v>
      </c>
      <c r="H288" s="3">
        <v>68.540000000000006</v>
      </c>
      <c r="I288" s="3">
        <v>195.27</v>
      </c>
      <c r="J288" s="3">
        <v>85</v>
      </c>
      <c r="K288" s="3">
        <v>11.9</v>
      </c>
      <c r="L288">
        <v>0.69369999999999998</v>
      </c>
      <c r="M288">
        <v>5</v>
      </c>
    </row>
    <row r="289" spans="1:19">
      <c r="A289" s="3">
        <v>2025</v>
      </c>
      <c r="B289" s="3" t="s">
        <v>12</v>
      </c>
      <c r="C289" s="3" t="s">
        <v>6</v>
      </c>
      <c r="D289" s="3">
        <v>2</v>
      </c>
      <c r="E289" s="3">
        <v>78.55</v>
      </c>
      <c r="F289" s="3">
        <v>77.75</v>
      </c>
      <c r="G289" s="3">
        <f t="shared" si="4"/>
        <v>78.55</v>
      </c>
      <c r="H289" s="3">
        <v>68.260000000000005</v>
      </c>
      <c r="I289" s="3">
        <v>225.83</v>
      </c>
      <c r="J289" s="3">
        <v>95</v>
      </c>
      <c r="K289" s="3">
        <v>14.4</v>
      </c>
      <c r="L289">
        <v>0.35</v>
      </c>
      <c r="M289">
        <v>4</v>
      </c>
    </row>
    <row r="290" spans="1:19">
      <c r="A290" s="3">
        <v>2025</v>
      </c>
      <c r="B290" s="3" t="s">
        <v>12</v>
      </c>
      <c r="C290" s="3" t="s">
        <v>6</v>
      </c>
      <c r="D290" s="3">
        <v>3</v>
      </c>
      <c r="E290" s="3">
        <v>82.08</v>
      </c>
      <c r="F290" s="3">
        <v>80.33</v>
      </c>
      <c r="G290" s="3">
        <f t="shared" si="4"/>
        <v>82.08</v>
      </c>
      <c r="H290" s="3">
        <v>73.930000000000007</v>
      </c>
      <c r="I290" s="3">
        <v>245.37</v>
      </c>
      <c r="J290" s="3">
        <v>95</v>
      </c>
      <c r="K290" s="3">
        <v>13.8</v>
      </c>
      <c r="L290">
        <v>0.55610000000000004</v>
      </c>
      <c r="M290">
        <v>8</v>
      </c>
    </row>
    <row r="291" spans="1:19">
      <c r="A291" s="3">
        <v>2025</v>
      </c>
      <c r="B291" s="3" t="s">
        <v>12</v>
      </c>
      <c r="C291" s="3" t="s">
        <v>6</v>
      </c>
      <c r="D291" s="3">
        <v>4</v>
      </c>
      <c r="E291" s="3">
        <v>73.02</v>
      </c>
      <c r="F291" s="3">
        <v>73.64</v>
      </c>
      <c r="G291" s="3">
        <f t="shared" si="4"/>
        <v>73.64</v>
      </c>
      <c r="H291" s="3">
        <v>63.21</v>
      </c>
      <c r="I291" s="3">
        <v>174.13</v>
      </c>
      <c r="J291" s="3">
        <v>100</v>
      </c>
      <c r="K291" s="3">
        <v>13.5</v>
      </c>
      <c r="L291">
        <v>0.3624</v>
      </c>
      <c r="M291">
        <v>5</v>
      </c>
    </row>
    <row r="292" spans="1:19">
      <c r="A292" s="3">
        <v>2025</v>
      </c>
      <c r="B292" s="3" t="s">
        <v>12</v>
      </c>
      <c r="C292" s="3" t="s">
        <v>6</v>
      </c>
      <c r="D292" s="3">
        <v>5</v>
      </c>
      <c r="E292" s="3">
        <v>75.58</v>
      </c>
      <c r="F292" s="3">
        <v>79.069999999999993</v>
      </c>
      <c r="G292" s="3">
        <f t="shared" si="4"/>
        <v>79.069999999999993</v>
      </c>
      <c r="H292" s="3">
        <v>76.22</v>
      </c>
      <c r="I292" s="3">
        <v>228.15</v>
      </c>
      <c r="J292" s="3">
        <v>85</v>
      </c>
      <c r="K292" s="3">
        <v>15.3</v>
      </c>
      <c r="L292">
        <v>0.2266</v>
      </c>
      <c r="M292">
        <v>7</v>
      </c>
    </row>
    <row r="293" spans="1:19">
      <c r="A293" s="3">
        <v>2025</v>
      </c>
      <c r="B293" s="3" t="s">
        <v>12</v>
      </c>
      <c r="C293" s="3" t="s">
        <v>6</v>
      </c>
      <c r="D293" s="3">
        <v>6</v>
      </c>
      <c r="E293" s="3">
        <v>73.59</v>
      </c>
      <c r="F293" s="3">
        <v>69.88</v>
      </c>
      <c r="G293" s="3">
        <f t="shared" si="4"/>
        <v>73.59</v>
      </c>
      <c r="H293" s="3">
        <v>61.88</v>
      </c>
      <c r="I293" s="3">
        <v>175.14</v>
      </c>
      <c r="J293" s="3">
        <v>95</v>
      </c>
      <c r="K293" s="3">
        <v>13.3</v>
      </c>
      <c r="L293">
        <v>0.875</v>
      </c>
      <c r="M293">
        <v>6</v>
      </c>
    </row>
    <row r="294" spans="1:19">
      <c r="A294" s="3">
        <v>2025</v>
      </c>
      <c r="B294" s="3" t="s">
        <v>12</v>
      </c>
      <c r="C294" s="3" t="s">
        <v>6</v>
      </c>
      <c r="D294" s="3">
        <v>7</v>
      </c>
      <c r="E294" s="3">
        <v>79.7</v>
      </c>
      <c r="F294" s="3">
        <v>81.510000000000005</v>
      </c>
      <c r="G294" s="3">
        <f t="shared" si="4"/>
        <v>81.510000000000005</v>
      </c>
      <c r="H294" s="3">
        <v>67.540000000000006</v>
      </c>
      <c r="I294" s="3">
        <v>246.96</v>
      </c>
      <c r="J294" s="3">
        <v>90</v>
      </c>
      <c r="K294" s="3">
        <v>15</v>
      </c>
      <c r="L294">
        <v>0.56469999999999998</v>
      </c>
      <c r="M294">
        <v>6</v>
      </c>
    </row>
    <row r="295" spans="1:19">
      <c r="A295" s="3">
        <v>2025</v>
      </c>
      <c r="B295" s="3" t="s">
        <v>12</v>
      </c>
      <c r="C295" s="3" t="s">
        <v>6</v>
      </c>
      <c r="D295" s="3">
        <v>8</v>
      </c>
      <c r="E295" s="3">
        <v>79.77</v>
      </c>
      <c r="F295" s="3">
        <v>76.59</v>
      </c>
      <c r="G295" s="3">
        <f t="shared" si="4"/>
        <v>79.77</v>
      </c>
      <c r="H295" s="3">
        <v>70.150000000000006</v>
      </c>
      <c r="I295" s="3">
        <v>226.33</v>
      </c>
      <c r="J295" s="3">
        <v>95</v>
      </c>
      <c r="K295" s="3">
        <v>12.5</v>
      </c>
      <c r="L295">
        <v>0.60929999999999995</v>
      </c>
      <c r="M295">
        <v>6</v>
      </c>
    </row>
    <row r="296" spans="1:19">
      <c r="A296" s="3">
        <v>2025</v>
      </c>
      <c r="B296" s="3" t="s">
        <v>12</v>
      </c>
      <c r="C296" s="3" t="s">
        <v>6</v>
      </c>
      <c r="D296" s="3">
        <v>9</v>
      </c>
      <c r="E296" s="3">
        <v>76.94</v>
      </c>
      <c r="F296" s="3">
        <v>80.67</v>
      </c>
      <c r="G296" s="3">
        <f t="shared" si="4"/>
        <v>80.67</v>
      </c>
      <c r="H296" s="3">
        <v>71.33</v>
      </c>
      <c r="I296" s="3">
        <v>223.04</v>
      </c>
      <c r="J296" s="3">
        <v>90</v>
      </c>
      <c r="K296" s="3">
        <v>15.9</v>
      </c>
      <c r="L296">
        <v>0.5081</v>
      </c>
      <c r="M296">
        <v>7</v>
      </c>
    </row>
    <row r="297" spans="1:19">
      <c r="A297" s="3">
        <v>2025</v>
      </c>
      <c r="B297" s="3" t="s">
        <v>12</v>
      </c>
      <c r="C297" s="3" t="s">
        <v>6</v>
      </c>
      <c r="D297" s="3">
        <v>10</v>
      </c>
      <c r="E297" s="3">
        <v>81.56</v>
      </c>
      <c r="F297" s="3">
        <v>81.510000000000005</v>
      </c>
      <c r="G297" s="3">
        <f t="shared" si="4"/>
        <v>81.56</v>
      </c>
      <c r="H297" s="3">
        <v>79.34</v>
      </c>
      <c r="I297" s="3">
        <v>267.07</v>
      </c>
      <c r="J297" s="3">
        <v>95</v>
      </c>
      <c r="K297" s="3">
        <v>14.7</v>
      </c>
      <c r="L297">
        <v>0.40960000000000002</v>
      </c>
      <c r="M297">
        <v>8</v>
      </c>
    </row>
    <row r="298" spans="1:19">
      <c r="A298" s="3">
        <v>2025</v>
      </c>
      <c r="B298" s="3" t="s">
        <v>12</v>
      </c>
      <c r="C298" s="3" t="s">
        <v>6</v>
      </c>
      <c r="D298" s="3">
        <v>11</v>
      </c>
      <c r="E298" s="3">
        <v>73.3</v>
      </c>
      <c r="F298" s="3">
        <v>77.44</v>
      </c>
      <c r="G298" s="3">
        <f t="shared" si="4"/>
        <v>77.44</v>
      </c>
      <c r="H298" s="3">
        <v>72.599999999999994</v>
      </c>
      <c r="I298" s="3">
        <v>190.96</v>
      </c>
      <c r="J298" s="3">
        <v>55</v>
      </c>
      <c r="K298" s="3">
        <v>13.7</v>
      </c>
      <c r="L298">
        <v>0.71189999999999998</v>
      </c>
      <c r="M298">
        <v>8</v>
      </c>
    </row>
    <row r="299" spans="1:19">
      <c r="A299" s="3">
        <v>2025</v>
      </c>
      <c r="B299" s="3" t="s">
        <v>12</v>
      </c>
      <c r="C299" s="3" t="s">
        <v>6</v>
      </c>
      <c r="D299" s="3">
        <v>12</v>
      </c>
      <c r="E299" s="3">
        <v>77.17</v>
      </c>
      <c r="F299" s="3">
        <v>77.92</v>
      </c>
      <c r="G299" s="3">
        <f t="shared" si="4"/>
        <v>77.92</v>
      </c>
      <c r="H299" s="3">
        <v>68.67</v>
      </c>
      <c r="I299" s="3">
        <v>207.07</v>
      </c>
      <c r="J299" s="3">
        <v>95</v>
      </c>
      <c r="K299" s="3">
        <v>15.7</v>
      </c>
      <c r="L299">
        <v>0.49</v>
      </c>
      <c r="M299">
        <v>5</v>
      </c>
    </row>
    <row r="300" spans="1:19">
      <c r="A300" s="3">
        <v>2025</v>
      </c>
      <c r="B300" s="3" t="s">
        <v>12</v>
      </c>
      <c r="C300" s="3" t="s">
        <v>6</v>
      </c>
      <c r="D300" s="3">
        <v>13</v>
      </c>
      <c r="E300" s="3">
        <v>80.8</v>
      </c>
      <c r="F300" s="3">
        <v>78.36</v>
      </c>
      <c r="G300" s="3">
        <f t="shared" si="4"/>
        <v>80.8</v>
      </c>
      <c r="H300" s="3">
        <v>75.099999999999994</v>
      </c>
      <c r="I300" s="3">
        <v>240.29</v>
      </c>
      <c r="J300" s="3">
        <v>95</v>
      </c>
      <c r="K300" s="3">
        <v>13.6</v>
      </c>
      <c r="L300">
        <v>0.85950000000000004</v>
      </c>
      <c r="M300">
        <v>6</v>
      </c>
    </row>
    <row r="301" spans="1:19">
      <c r="A301" s="3">
        <v>2025</v>
      </c>
      <c r="B301" s="3" t="s">
        <v>12</v>
      </c>
      <c r="C301" s="3" t="s">
        <v>6</v>
      </c>
      <c r="D301" s="3">
        <v>14</v>
      </c>
      <c r="E301" s="3">
        <v>75.86</v>
      </c>
      <c r="F301" s="3">
        <v>72.67</v>
      </c>
      <c r="G301" s="3">
        <f t="shared" si="4"/>
        <v>75.86</v>
      </c>
      <c r="H301" s="3">
        <v>67.89</v>
      </c>
      <c r="I301" s="3">
        <v>188.12</v>
      </c>
      <c r="J301" s="3">
        <v>85</v>
      </c>
      <c r="K301" s="3">
        <v>13.3</v>
      </c>
      <c r="L301">
        <v>0.36899999999999999</v>
      </c>
      <c r="M301">
        <v>4</v>
      </c>
    </row>
    <row r="302" spans="1:19">
      <c r="A302" s="3">
        <v>2025</v>
      </c>
      <c r="B302" s="3" t="s">
        <v>12</v>
      </c>
      <c r="C302" s="3" t="s">
        <v>6</v>
      </c>
      <c r="D302" s="3">
        <v>15</v>
      </c>
      <c r="E302" s="3">
        <v>78.819999999999993</v>
      </c>
      <c r="F302" s="3">
        <v>76.819999999999993</v>
      </c>
      <c r="G302" s="3">
        <f t="shared" si="4"/>
        <v>78.819999999999993</v>
      </c>
      <c r="H302" s="3">
        <v>69.47</v>
      </c>
      <c r="I302" s="3">
        <v>214.1</v>
      </c>
      <c r="J302" s="3">
        <v>70</v>
      </c>
      <c r="K302" s="3">
        <v>13.5</v>
      </c>
      <c r="L302">
        <v>0.64</v>
      </c>
      <c r="M302">
        <v>7</v>
      </c>
    </row>
    <row r="303" spans="1:19">
      <c r="A303">
        <v>2025</v>
      </c>
      <c r="B303" t="s">
        <v>13</v>
      </c>
      <c r="C303" t="s">
        <v>9</v>
      </c>
      <c r="D303">
        <v>1</v>
      </c>
      <c r="G303" s="3"/>
      <c r="N303">
        <v>42.98</v>
      </c>
      <c r="O303">
        <v>47.55</v>
      </c>
      <c r="P303">
        <v>23.83</v>
      </c>
      <c r="Q303">
        <v>53.18</v>
      </c>
      <c r="R303">
        <v>26.61</v>
      </c>
      <c r="S303">
        <v>10.739000000000001</v>
      </c>
    </row>
    <row r="304" spans="1:19">
      <c r="A304">
        <v>2025</v>
      </c>
      <c r="B304" t="s">
        <v>13</v>
      </c>
      <c r="C304" t="s">
        <v>9</v>
      </c>
      <c r="D304">
        <v>1</v>
      </c>
      <c r="G304" s="3"/>
      <c r="N304">
        <v>36.46</v>
      </c>
      <c r="O304">
        <v>45.95</v>
      </c>
      <c r="P304">
        <v>22.46</v>
      </c>
      <c r="Q304">
        <v>51.14</v>
      </c>
      <c r="R304">
        <v>26.04</v>
      </c>
      <c r="S304">
        <v>13.387</v>
      </c>
    </row>
    <row r="305" spans="1:19">
      <c r="A305">
        <v>2025</v>
      </c>
      <c r="B305" t="s">
        <v>13</v>
      </c>
      <c r="C305" t="s">
        <v>9</v>
      </c>
      <c r="D305">
        <v>2</v>
      </c>
      <c r="G305" s="3"/>
      <c r="N305">
        <v>55.94</v>
      </c>
      <c r="O305">
        <v>28.64</v>
      </c>
      <c r="P305">
        <v>25.97</v>
      </c>
      <c r="Q305">
        <v>38.659999999999997</v>
      </c>
      <c r="R305">
        <v>42.2</v>
      </c>
      <c r="S305">
        <v>11.747</v>
      </c>
    </row>
    <row r="306" spans="1:19">
      <c r="A306">
        <v>2025</v>
      </c>
      <c r="B306" t="s">
        <v>13</v>
      </c>
      <c r="C306" t="s">
        <v>9</v>
      </c>
      <c r="D306">
        <v>2</v>
      </c>
      <c r="G306" s="3"/>
      <c r="N306">
        <v>60.28</v>
      </c>
      <c r="O306">
        <v>21.89</v>
      </c>
      <c r="P306">
        <v>28.34</v>
      </c>
      <c r="Q306">
        <v>35.81</v>
      </c>
      <c r="R306">
        <v>52.32</v>
      </c>
      <c r="S306">
        <v>11.090999999999999</v>
      </c>
    </row>
    <row r="307" spans="1:19">
      <c r="A307">
        <v>2025</v>
      </c>
      <c r="B307" t="s">
        <v>13</v>
      </c>
      <c r="C307" t="s">
        <v>9</v>
      </c>
      <c r="D307">
        <v>3</v>
      </c>
      <c r="G307" s="3"/>
      <c r="N307">
        <v>36.869999999999997</v>
      </c>
      <c r="O307">
        <v>43.07</v>
      </c>
      <c r="P307">
        <v>23.6</v>
      </c>
      <c r="Q307">
        <v>49.11</v>
      </c>
      <c r="R307">
        <v>28.72</v>
      </c>
      <c r="S307">
        <v>9.73</v>
      </c>
    </row>
    <row r="308" spans="1:19">
      <c r="A308">
        <v>2025</v>
      </c>
      <c r="B308" t="s">
        <v>13</v>
      </c>
      <c r="C308" t="s">
        <v>9</v>
      </c>
      <c r="D308">
        <v>3</v>
      </c>
      <c r="G308" s="3"/>
      <c r="N308">
        <v>38.49</v>
      </c>
      <c r="O308">
        <v>42</v>
      </c>
      <c r="P308">
        <v>23.64</v>
      </c>
      <c r="Q308">
        <v>48.2</v>
      </c>
      <c r="R308">
        <v>29.37</v>
      </c>
      <c r="S308">
        <v>9.3789999999999996</v>
      </c>
    </row>
    <row r="309" spans="1:19">
      <c r="A309">
        <v>2025</v>
      </c>
      <c r="B309" t="s">
        <v>13</v>
      </c>
      <c r="C309" t="s">
        <v>9</v>
      </c>
      <c r="D309">
        <v>4</v>
      </c>
      <c r="G309" s="3"/>
      <c r="N309">
        <v>40.39</v>
      </c>
      <c r="O309">
        <v>45.7</v>
      </c>
      <c r="P309">
        <v>25.02</v>
      </c>
      <c r="Q309">
        <v>52.1</v>
      </c>
      <c r="R309">
        <v>28.7</v>
      </c>
      <c r="S309">
        <v>10.47</v>
      </c>
    </row>
    <row r="310" spans="1:19">
      <c r="A310">
        <v>2025</v>
      </c>
      <c r="B310" t="s">
        <v>13</v>
      </c>
      <c r="C310" t="s">
        <v>9</v>
      </c>
      <c r="D310">
        <v>4</v>
      </c>
      <c r="G310" s="3"/>
      <c r="N310">
        <v>58.48</v>
      </c>
      <c r="O310">
        <v>31.4</v>
      </c>
      <c r="P310">
        <v>28.14</v>
      </c>
      <c r="Q310">
        <v>42.16</v>
      </c>
      <c r="R310">
        <v>41.86</v>
      </c>
      <c r="S310">
        <v>9.5869999999999997</v>
      </c>
    </row>
    <row r="311" spans="1:19">
      <c r="A311">
        <v>2025</v>
      </c>
      <c r="B311" t="s">
        <v>13</v>
      </c>
      <c r="C311" t="s">
        <v>9</v>
      </c>
      <c r="D311">
        <v>5</v>
      </c>
      <c r="G311" s="3"/>
      <c r="N311">
        <v>47.94</v>
      </c>
      <c r="O311">
        <v>46.15</v>
      </c>
      <c r="P311">
        <v>29.41</v>
      </c>
      <c r="Q311">
        <v>54.72</v>
      </c>
      <c r="R311">
        <v>32.51</v>
      </c>
      <c r="S311">
        <v>9.8390000000000004</v>
      </c>
    </row>
    <row r="312" spans="1:19">
      <c r="A312">
        <v>2025</v>
      </c>
      <c r="B312" t="s">
        <v>13</v>
      </c>
      <c r="C312" t="s">
        <v>9</v>
      </c>
      <c r="D312">
        <v>5</v>
      </c>
      <c r="G312" s="3"/>
      <c r="N312">
        <v>38.14</v>
      </c>
      <c r="O312">
        <v>46.59</v>
      </c>
      <c r="P312">
        <v>22.74</v>
      </c>
      <c r="Q312">
        <v>51.84</v>
      </c>
      <c r="R312">
        <v>26.01</v>
      </c>
      <c r="S312">
        <v>8.5570000000000004</v>
      </c>
    </row>
    <row r="313" spans="1:19">
      <c r="A313">
        <v>2025</v>
      </c>
      <c r="B313" t="s">
        <v>13</v>
      </c>
      <c r="C313" t="s">
        <v>9</v>
      </c>
      <c r="D313">
        <v>6</v>
      </c>
      <c r="G313" s="3"/>
      <c r="N313">
        <v>36.86</v>
      </c>
      <c r="O313">
        <v>46.15</v>
      </c>
      <c r="P313">
        <v>24.52</v>
      </c>
      <c r="Q313">
        <v>52.26</v>
      </c>
      <c r="R313">
        <v>27.98</v>
      </c>
      <c r="S313">
        <v>11.595000000000001</v>
      </c>
    </row>
    <row r="314" spans="1:19">
      <c r="A314">
        <v>2025</v>
      </c>
      <c r="B314" t="s">
        <v>13</v>
      </c>
      <c r="C314" t="s">
        <v>9</v>
      </c>
      <c r="D314">
        <v>6</v>
      </c>
      <c r="G314" s="3"/>
      <c r="N314">
        <v>59.73</v>
      </c>
      <c r="O314">
        <v>29.27</v>
      </c>
      <c r="P314">
        <v>25.32</v>
      </c>
      <c r="Q314">
        <v>38.700000000000003</v>
      </c>
      <c r="R314">
        <v>40.85</v>
      </c>
      <c r="S314">
        <v>10.180999999999999</v>
      </c>
    </row>
    <row r="315" spans="1:19">
      <c r="A315">
        <v>2025</v>
      </c>
      <c r="B315" t="s">
        <v>13</v>
      </c>
      <c r="C315" t="s">
        <v>9</v>
      </c>
      <c r="D315">
        <v>7</v>
      </c>
      <c r="G315" s="3"/>
      <c r="N315">
        <v>43.47</v>
      </c>
      <c r="O315">
        <v>44.41</v>
      </c>
      <c r="P315">
        <v>23.97</v>
      </c>
      <c r="Q315">
        <v>50.47</v>
      </c>
      <c r="R315">
        <v>28.36</v>
      </c>
      <c r="S315">
        <v>12.185</v>
      </c>
    </row>
    <row r="316" spans="1:19">
      <c r="A316">
        <v>2025</v>
      </c>
      <c r="B316" t="s">
        <v>13</v>
      </c>
      <c r="C316" t="s">
        <v>9</v>
      </c>
      <c r="D316">
        <v>7</v>
      </c>
      <c r="G316" s="3"/>
      <c r="N316">
        <v>56.71</v>
      </c>
      <c r="O316">
        <v>30.56</v>
      </c>
      <c r="P316">
        <v>26.81</v>
      </c>
      <c r="Q316">
        <v>40.659999999999997</v>
      </c>
      <c r="R316">
        <v>41.26</v>
      </c>
      <c r="S316">
        <v>10.63</v>
      </c>
    </row>
    <row r="317" spans="1:19">
      <c r="A317">
        <v>2025</v>
      </c>
      <c r="B317" t="s">
        <v>13</v>
      </c>
      <c r="C317" t="s">
        <v>9</v>
      </c>
      <c r="D317">
        <v>8</v>
      </c>
      <c r="G317" s="3"/>
      <c r="N317">
        <v>43.73</v>
      </c>
      <c r="O317">
        <v>38.229999999999997</v>
      </c>
      <c r="P317">
        <v>23.45</v>
      </c>
      <c r="Q317">
        <v>44.85</v>
      </c>
      <c r="R317">
        <v>31.53</v>
      </c>
      <c r="S317">
        <v>11.458</v>
      </c>
    </row>
    <row r="318" spans="1:19">
      <c r="A318">
        <v>2025</v>
      </c>
      <c r="B318" t="s">
        <v>13</v>
      </c>
      <c r="C318" t="s">
        <v>9</v>
      </c>
      <c r="D318">
        <v>8</v>
      </c>
      <c r="G318" s="3"/>
      <c r="N318">
        <v>68.12</v>
      </c>
      <c r="O318">
        <v>12.92</v>
      </c>
      <c r="P318">
        <v>31.48</v>
      </c>
      <c r="Q318">
        <v>34.03</v>
      </c>
      <c r="R318">
        <v>67.69</v>
      </c>
      <c r="S318">
        <v>10.170999999999999</v>
      </c>
    </row>
    <row r="319" spans="1:19">
      <c r="A319">
        <v>2025</v>
      </c>
      <c r="B319" t="s">
        <v>13</v>
      </c>
      <c r="C319" t="s">
        <v>9</v>
      </c>
      <c r="D319">
        <v>9</v>
      </c>
      <c r="G319" s="3"/>
      <c r="N319">
        <v>48.61</v>
      </c>
      <c r="O319">
        <v>40.43</v>
      </c>
      <c r="P319">
        <v>27.36</v>
      </c>
      <c r="Q319">
        <v>48.81</v>
      </c>
      <c r="R319">
        <v>34.08</v>
      </c>
      <c r="S319">
        <v>8.5449999999999999</v>
      </c>
    </row>
    <row r="320" spans="1:19">
      <c r="A320">
        <v>2025</v>
      </c>
      <c r="B320" t="s">
        <v>13</v>
      </c>
      <c r="C320" t="s">
        <v>9</v>
      </c>
      <c r="D320">
        <v>9</v>
      </c>
      <c r="G320" s="3"/>
      <c r="N320">
        <v>48.58</v>
      </c>
      <c r="O320">
        <v>37.78</v>
      </c>
      <c r="P320">
        <v>25.38</v>
      </c>
      <c r="Q320">
        <v>45.52</v>
      </c>
      <c r="R320">
        <v>33.89</v>
      </c>
      <c r="S320">
        <v>8.6370000000000005</v>
      </c>
    </row>
    <row r="321" spans="1:19">
      <c r="A321">
        <v>2025</v>
      </c>
      <c r="B321" t="s">
        <v>13</v>
      </c>
      <c r="C321" t="s">
        <v>9</v>
      </c>
      <c r="D321">
        <v>10</v>
      </c>
      <c r="G321" s="3"/>
      <c r="N321">
        <v>31.7</v>
      </c>
      <c r="O321">
        <v>42.19</v>
      </c>
      <c r="P321">
        <v>17.489999999999998</v>
      </c>
      <c r="Q321">
        <v>45.68</v>
      </c>
      <c r="R321">
        <v>22.52</v>
      </c>
      <c r="S321">
        <v>9.0579999999999998</v>
      </c>
    </row>
    <row r="322" spans="1:19">
      <c r="A322">
        <v>2025</v>
      </c>
      <c r="B322" t="s">
        <v>13</v>
      </c>
      <c r="C322" t="s">
        <v>9</v>
      </c>
      <c r="D322">
        <v>10</v>
      </c>
      <c r="G322" s="3"/>
      <c r="N322">
        <v>41.11</v>
      </c>
      <c r="O322">
        <v>41.52</v>
      </c>
      <c r="P322">
        <v>21.7</v>
      </c>
      <c r="Q322">
        <v>46.84</v>
      </c>
      <c r="R322">
        <v>27.59</v>
      </c>
      <c r="S322">
        <v>9.6</v>
      </c>
    </row>
    <row r="323" spans="1:19">
      <c r="A323">
        <v>2025</v>
      </c>
      <c r="B323" t="s">
        <v>13</v>
      </c>
      <c r="C323" t="s">
        <v>9</v>
      </c>
      <c r="D323">
        <v>11</v>
      </c>
      <c r="G323" s="3"/>
      <c r="N323">
        <v>43.16</v>
      </c>
      <c r="O323">
        <v>39.97</v>
      </c>
      <c r="P323">
        <v>23.35</v>
      </c>
      <c r="Q323">
        <v>46.29</v>
      </c>
      <c r="R323">
        <v>30.29</v>
      </c>
      <c r="S323">
        <v>8.6790000000000003</v>
      </c>
    </row>
    <row r="324" spans="1:19">
      <c r="A324">
        <v>2025</v>
      </c>
      <c r="B324" t="s">
        <v>13</v>
      </c>
      <c r="C324" t="s">
        <v>9</v>
      </c>
      <c r="D324">
        <v>11</v>
      </c>
      <c r="G324" s="3"/>
      <c r="N324">
        <v>61.33</v>
      </c>
      <c r="O324">
        <v>22.48</v>
      </c>
      <c r="P324">
        <v>24.65</v>
      </c>
      <c r="Q324">
        <v>33.36</v>
      </c>
      <c r="R324">
        <v>47.65</v>
      </c>
      <c r="S324">
        <v>9.3819999999999997</v>
      </c>
    </row>
    <row r="325" spans="1:19">
      <c r="A325">
        <v>2025</v>
      </c>
      <c r="B325" t="s">
        <v>13</v>
      </c>
      <c r="C325" t="s">
        <v>9</v>
      </c>
      <c r="D325">
        <v>12</v>
      </c>
      <c r="G325" s="3"/>
      <c r="N325">
        <v>37.29</v>
      </c>
      <c r="O325">
        <v>43.45</v>
      </c>
      <c r="P325">
        <v>20.23</v>
      </c>
      <c r="Q325">
        <v>47.93</v>
      </c>
      <c r="R325">
        <v>24.96</v>
      </c>
      <c r="S325">
        <v>10.532</v>
      </c>
    </row>
    <row r="326" spans="1:19">
      <c r="A326">
        <v>2025</v>
      </c>
      <c r="B326" t="s">
        <v>13</v>
      </c>
      <c r="C326" t="s">
        <v>9</v>
      </c>
      <c r="D326">
        <v>12</v>
      </c>
      <c r="G326" s="3"/>
      <c r="N326">
        <v>61.95</v>
      </c>
      <c r="O326">
        <v>28.44</v>
      </c>
      <c r="P326">
        <v>33.94</v>
      </c>
      <c r="Q326">
        <v>44.28</v>
      </c>
      <c r="R326">
        <v>50.04</v>
      </c>
      <c r="S326">
        <v>10.739000000000001</v>
      </c>
    </row>
    <row r="327" spans="1:19">
      <c r="A327">
        <v>2025</v>
      </c>
      <c r="B327" t="s">
        <v>13</v>
      </c>
      <c r="C327" t="s">
        <v>9</v>
      </c>
      <c r="D327">
        <v>13</v>
      </c>
      <c r="G327" s="3"/>
      <c r="N327">
        <v>31.54</v>
      </c>
      <c r="O327">
        <v>43.49</v>
      </c>
      <c r="P327">
        <v>18.55</v>
      </c>
      <c r="Q327">
        <v>47.28</v>
      </c>
      <c r="R327">
        <v>23.1</v>
      </c>
      <c r="S327">
        <v>7.3680000000000003</v>
      </c>
    </row>
    <row r="328" spans="1:19">
      <c r="A328">
        <v>2025</v>
      </c>
      <c r="B328" t="s">
        <v>13</v>
      </c>
      <c r="C328" t="s">
        <v>9</v>
      </c>
      <c r="D328">
        <v>13</v>
      </c>
      <c r="G328" s="3"/>
      <c r="N328">
        <v>50.11</v>
      </c>
      <c r="O328">
        <v>42.77</v>
      </c>
      <c r="P328">
        <v>30.18</v>
      </c>
      <c r="Q328">
        <v>52.35</v>
      </c>
      <c r="R328">
        <v>35.22</v>
      </c>
      <c r="S328">
        <v>9.6059999999999999</v>
      </c>
    </row>
    <row r="329" spans="1:19">
      <c r="A329">
        <v>2025</v>
      </c>
      <c r="B329" t="s">
        <v>13</v>
      </c>
      <c r="C329" t="s">
        <v>9</v>
      </c>
      <c r="D329">
        <v>14</v>
      </c>
      <c r="G329" s="3"/>
      <c r="N329">
        <v>40.270000000000003</v>
      </c>
      <c r="O329">
        <v>44.58</v>
      </c>
      <c r="P329">
        <v>24.05</v>
      </c>
      <c r="Q329">
        <v>50.66</v>
      </c>
      <c r="R329">
        <v>28.35</v>
      </c>
      <c r="S329">
        <v>9.1080000000000005</v>
      </c>
    </row>
    <row r="330" spans="1:19">
      <c r="A330">
        <v>2025</v>
      </c>
      <c r="B330" t="s">
        <v>13</v>
      </c>
      <c r="C330" t="s">
        <v>9</v>
      </c>
      <c r="D330">
        <v>14</v>
      </c>
      <c r="G330" s="3"/>
      <c r="N330">
        <v>47.19</v>
      </c>
      <c r="O330">
        <v>42.1</v>
      </c>
      <c r="P330">
        <v>26.67</v>
      </c>
      <c r="Q330">
        <v>49.84</v>
      </c>
      <c r="R330">
        <v>32.35</v>
      </c>
      <c r="S330">
        <v>10.077</v>
      </c>
    </row>
    <row r="331" spans="1:19">
      <c r="A331">
        <v>2025</v>
      </c>
      <c r="B331" t="s">
        <v>13</v>
      </c>
      <c r="C331" t="s">
        <v>9</v>
      </c>
      <c r="D331">
        <v>15</v>
      </c>
      <c r="G331" s="3"/>
      <c r="N331">
        <v>44.67</v>
      </c>
      <c r="O331">
        <v>38.1</v>
      </c>
      <c r="P331">
        <v>23.87</v>
      </c>
      <c r="Q331">
        <v>44.96</v>
      </c>
      <c r="R331">
        <v>32.07</v>
      </c>
      <c r="S331">
        <v>8.4960000000000004</v>
      </c>
    </row>
    <row r="332" spans="1:19">
      <c r="A332">
        <v>2025</v>
      </c>
      <c r="B332" t="s">
        <v>13</v>
      </c>
      <c r="C332" t="s">
        <v>9</v>
      </c>
      <c r="D332">
        <v>15</v>
      </c>
      <c r="G332" s="3"/>
      <c r="N332">
        <v>45.88</v>
      </c>
      <c r="O332">
        <v>41.33</v>
      </c>
      <c r="P332">
        <v>25.97</v>
      </c>
      <c r="Q332">
        <v>48.81</v>
      </c>
      <c r="R332">
        <v>32.14</v>
      </c>
      <c r="S332">
        <v>8.4730000000000008</v>
      </c>
    </row>
    <row r="333" spans="1:19">
      <c r="A333">
        <v>2025</v>
      </c>
      <c r="B333" t="s">
        <v>13</v>
      </c>
      <c r="C333" t="s">
        <v>8</v>
      </c>
      <c r="D333">
        <v>1</v>
      </c>
      <c r="G333" s="3"/>
      <c r="N333">
        <v>44.72</v>
      </c>
      <c r="O333">
        <v>43.57</v>
      </c>
      <c r="P333">
        <v>27.55</v>
      </c>
      <c r="Q333">
        <v>51.54</v>
      </c>
      <c r="R333">
        <v>32.299999999999997</v>
      </c>
      <c r="S333">
        <v>9.7530000000000001</v>
      </c>
    </row>
    <row r="334" spans="1:19">
      <c r="A334">
        <v>2025</v>
      </c>
      <c r="B334" t="s">
        <v>13</v>
      </c>
      <c r="C334" t="s">
        <v>8</v>
      </c>
      <c r="D334">
        <v>1</v>
      </c>
      <c r="G334" s="3"/>
      <c r="N334">
        <v>42.88</v>
      </c>
      <c r="O334">
        <v>42.8</v>
      </c>
      <c r="P334">
        <v>25.08</v>
      </c>
      <c r="Q334">
        <v>49.6</v>
      </c>
      <c r="R334">
        <v>30.37</v>
      </c>
      <c r="S334">
        <v>9.484</v>
      </c>
    </row>
    <row r="335" spans="1:19">
      <c r="A335">
        <v>2025</v>
      </c>
      <c r="B335" t="s">
        <v>13</v>
      </c>
      <c r="C335" t="s">
        <v>8</v>
      </c>
      <c r="D335">
        <v>2</v>
      </c>
      <c r="G335" s="3"/>
      <c r="N335">
        <v>33.090000000000003</v>
      </c>
      <c r="O335">
        <v>44.45</v>
      </c>
      <c r="P335">
        <v>21.35</v>
      </c>
      <c r="Q335">
        <v>49.31</v>
      </c>
      <c r="R335">
        <v>25.66</v>
      </c>
      <c r="S335">
        <v>7.6959999999999997</v>
      </c>
    </row>
    <row r="336" spans="1:19">
      <c r="A336">
        <v>2025</v>
      </c>
      <c r="B336" t="s">
        <v>13</v>
      </c>
      <c r="C336" t="s">
        <v>8</v>
      </c>
      <c r="D336">
        <v>2</v>
      </c>
      <c r="G336" s="3"/>
      <c r="N336">
        <v>29.83</v>
      </c>
      <c r="O336">
        <v>35.82</v>
      </c>
      <c r="P336">
        <v>12.7</v>
      </c>
      <c r="Q336">
        <v>38.01</v>
      </c>
      <c r="R336">
        <v>19.52</v>
      </c>
      <c r="S336">
        <v>7.8490000000000002</v>
      </c>
    </row>
    <row r="337" spans="1:19">
      <c r="A337">
        <v>2025</v>
      </c>
      <c r="B337" t="s">
        <v>13</v>
      </c>
      <c r="C337" t="s">
        <v>8</v>
      </c>
      <c r="D337">
        <v>3</v>
      </c>
      <c r="G337" s="3"/>
      <c r="N337">
        <v>34.46</v>
      </c>
      <c r="O337">
        <v>40.25</v>
      </c>
      <c r="P337">
        <v>17.68</v>
      </c>
      <c r="Q337">
        <v>43.96</v>
      </c>
      <c r="R337">
        <v>23.71</v>
      </c>
      <c r="S337">
        <v>10.032999999999999</v>
      </c>
    </row>
    <row r="338" spans="1:19">
      <c r="A338">
        <v>2025</v>
      </c>
      <c r="B338" t="s">
        <v>13</v>
      </c>
      <c r="C338" t="s">
        <v>8</v>
      </c>
      <c r="D338">
        <v>3</v>
      </c>
      <c r="G338" s="3"/>
      <c r="N338">
        <v>31.24</v>
      </c>
      <c r="O338">
        <v>41.53</v>
      </c>
      <c r="P338">
        <v>17.96</v>
      </c>
      <c r="Q338">
        <v>45.25</v>
      </c>
      <c r="R338">
        <v>23.39</v>
      </c>
      <c r="S338">
        <v>11.14</v>
      </c>
    </row>
    <row r="339" spans="1:19">
      <c r="A339">
        <v>2025</v>
      </c>
      <c r="B339" t="s">
        <v>13</v>
      </c>
      <c r="C339" t="s">
        <v>8</v>
      </c>
      <c r="D339">
        <v>4</v>
      </c>
      <c r="G339" s="3"/>
      <c r="N339">
        <v>41.83</v>
      </c>
      <c r="O339">
        <v>41.91</v>
      </c>
      <c r="P339">
        <v>22.28</v>
      </c>
      <c r="Q339">
        <v>47.47</v>
      </c>
      <c r="R339">
        <v>28</v>
      </c>
      <c r="S339">
        <v>10.651999999999999</v>
      </c>
    </row>
    <row r="340" spans="1:19">
      <c r="A340">
        <v>2025</v>
      </c>
      <c r="B340" t="s">
        <v>13</v>
      </c>
      <c r="C340" t="s">
        <v>8</v>
      </c>
      <c r="D340">
        <v>4</v>
      </c>
      <c r="G340" s="3"/>
      <c r="N340">
        <v>44.24</v>
      </c>
      <c r="O340">
        <v>42.16</v>
      </c>
      <c r="P340">
        <v>25.12</v>
      </c>
      <c r="Q340">
        <v>49.07</v>
      </c>
      <c r="R340">
        <v>30.79</v>
      </c>
      <c r="S340">
        <v>11.425000000000001</v>
      </c>
    </row>
    <row r="341" spans="1:19">
      <c r="A341">
        <v>2025</v>
      </c>
      <c r="B341" t="s">
        <v>13</v>
      </c>
      <c r="C341" t="s">
        <v>8</v>
      </c>
      <c r="D341">
        <v>5</v>
      </c>
      <c r="G341" s="3"/>
      <c r="N341">
        <v>36.65</v>
      </c>
      <c r="O341">
        <v>43.51</v>
      </c>
      <c r="P341">
        <v>24.23</v>
      </c>
      <c r="Q341">
        <v>49.8</v>
      </c>
      <c r="R341">
        <v>29.12</v>
      </c>
      <c r="S341">
        <v>9.4380000000000006</v>
      </c>
    </row>
    <row r="342" spans="1:19">
      <c r="A342">
        <v>2025</v>
      </c>
      <c r="B342" t="s">
        <v>13</v>
      </c>
      <c r="C342" t="s">
        <v>8</v>
      </c>
      <c r="D342">
        <v>5</v>
      </c>
      <c r="G342" s="3"/>
      <c r="N342">
        <v>33.729999999999997</v>
      </c>
      <c r="O342">
        <v>43.34</v>
      </c>
      <c r="P342">
        <v>19.510000000000002</v>
      </c>
      <c r="Q342">
        <v>47.53</v>
      </c>
      <c r="R342">
        <v>24.24</v>
      </c>
      <c r="S342">
        <v>9.2989999999999995</v>
      </c>
    </row>
    <row r="343" spans="1:19">
      <c r="A343">
        <v>2025</v>
      </c>
      <c r="B343" t="s">
        <v>13</v>
      </c>
      <c r="C343" t="s">
        <v>8</v>
      </c>
      <c r="D343">
        <v>6</v>
      </c>
      <c r="G343" s="3"/>
      <c r="N343">
        <v>34.869999999999997</v>
      </c>
      <c r="O343">
        <v>49.63</v>
      </c>
      <c r="P343">
        <v>24.98</v>
      </c>
      <c r="Q343">
        <v>55.56</v>
      </c>
      <c r="R343">
        <v>26.72</v>
      </c>
      <c r="S343">
        <v>10.587</v>
      </c>
    </row>
    <row r="344" spans="1:19">
      <c r="A344">
        <v>2025</v>
      </c>
      <c r="B344" t="s">
        <v>13</v>
      </c>
      <c r="C344" t="s">
        <v>8</v>
      </c>
      <c r="D344">
        <v>6</v>
      </c>
      <c r="G344" s="3"/>
      <c r="N344">
        <v>51.13</v>
      </c>
      <c r="O344">
        <v>40.200000000000003</v>
      </c>
      <c r="P344">
        <v>28.2</v>
      </c>
      <c r="Q344">
        <v>49.1</v>
      </c>
      <c r="R344">
        <v>35.04</v>
      </c>
      <c r="S344">
        <v>9.3539999999999992</v>
      </c>
    </row>
    <row r="345" spans="1:19">
      <c r="A345">
        <v>2025</v>
      </c>
      <c r="B345" t="s">
        <v>13</v>
      </c>
      <c r="C345" t="s">
        <v>8</v>
      </c>
      <c r="D345">
        <v>7</v>
      </c>
      <c r="G345" s="3"/>
      <c r="N345">
        <v>34.03</v>
      </c>
      <c r="O345">
        <v>45.87</v>
      </c>
      <c r="P345">
        <v>21.53</v>
      </c>
      <c r="Q345">
        <v>50.67</v>
      </c>
      <c r="R345">
        <v>25.15</v>
      </c>
      <c r="S345">
        <v>11.29</v>
      </c>
    </row>
    <row r="346" spans="1:19">
      <c r="A346">
        <v>2025</v>
      </c>
      <c r="B346" t="s">
        <v>13</v>
      </c>
      <c r="C346" t="s">
        <v>8</v>
      </c>
      <c r="D346">
        <v>7</v>
      </c>
      <c r="G346" s="3"/>
      <c r="N346">
        <v>54.32</v>
      </c>
      <c r="O346">
        <v>37.06</v>
      </c>
      <c r="P346">
        <v>27.68</v>
      </c>
      <c r="Q346">
        <v>46.26</v>
      </c>
      <c r="R346">
        <v>36.76</v>
      </c>
      <c r="S346">
        <v>11.648999999999999</v>
      </c>
    </row>
    <row r="347" spans="1:19">
      <c r="A347">
        <v>2025</v>
      </c>
      <c r="B347" t="s">
        <v>13</v>
      </c>
      <c r="C347" t="s">
        <v>8</v>
      </c>
      <c r="D347">
        <v>8</v>
      </c>
      <c r="G347" s="3"/>
      <c r="N347">
        <v>47.52</v>
      </c>
      <c r="O347">
        <v>46.48</v>
      </c>
      <c r="P347">
        <v>22.75</v>
      </c>
      <c r="Q347">
        <v>51.74</v>
      </c>
      <c r="R347">
        <v>26.08</v>
      </c>
      <c r="S347">
        <v>10.566000000000001</v>
      </c>
    </row>
    <row r="348" spans="1:19">
      <c r="A348">
        <v>2025</v>
      </c>
      <c r="B348" t="s">
        <v>13</v>
      </c>
      <c r="C348" t="s">
        <v>8</v>
      </c>
      <c r="D348">
        <v>8</v>
      </c>
      <c r="G348" s="3"/>
      <c r="N348">
        <v>64.02</v>
      </c>
      <c r="O348">
        <v>27.47</v>
      </c>
      <c r="P348">
        <v>26.27</v>
      </c>
      <c r="Q348">
        <v>38.01</v>
      </c>
      <c r="R348">
        <v>43.72</v>
      </c>
      <c r="S348">
        <v>11.358000000000001</v>
      </c>
    </row>
    <row r="349" spans="1:19">
      <c r="A349">
        <v>2025</v>
      </c>
      <c r="B349" t="s">
        <v>13</v>
      </c>
      <c r="C349" t="s">
        <v>8</v>
      </c>
      <c r="D349">
        <v>9</v>
      </c>
      <c r="G349" s="3"/>
      <c r="N349">
        <v>39.19</v>
      </c>
      <c r="O349">
        <v>42.7</v>
      </c>
      <c r="P349">
        <v>21.64</v>
      </c>
      <c r="Q349">
        <v>47.87</v>
      </c>
      <c r="R349">
        <v>26.87</v>
      </c>
      <c r="S349">
        <v>10.973000000000001</v>
      </c>
    </row>
    <row r="350" spans="1:19">
      <c r="A350">
        <v>2025</v>
      </c>
      <c r="B350" t="s">
        <v>13</v>
      </c>
      <c r="C350" t="s">
        <v>8</v>
      </c>
      <c r="D350">
        <v>9</v>
      </c>
      <c r="G350" s="3"/>
      <c r="N350">
        <v>43.24</v>
      </c>
      <c r="O350">
        <v>44.19</v>
      </c>
      <c r="P350">
        <v>23.89</v>
      </c>
      <c r="Q350">
        <v>50.23</v>
      </c>
      <c r="R350">
        <v>28.4</v>
      </c>
      <c r="S350">
        <v>10.9</v>
      </c>
    </row>
    <row r="351" spans="1:19">
      <c r="A351">
        <v>2025</v>
      </c>
      <c r="B351" t="s">
        <v>13</v>
      </c>
      <c r="C351" t="s">
        <v>8</v>
      </c>
      <c r="D351">
        <v>10</v>
      </c>
      <c r="G351" s="3"/>
      <c r="N351">
        <v>38.409999999999997</v>
      </c>
      <c r="O351">
        <v>48.28</v>
      </c>
      <c r="P351">
        <v>23.53</v>
      </c>
      <c r="Q351">
        <v>53.71</v>
      </c>
      <c r="R351">
        <v>25.99</v>
      </c>
      <c r="S351">
        <v>10.97</v>
      </c>
    </row>
    <row r="352" spans="1:19">
      <c r="A352">
        <v>2025</v>
      </c>
      <c r="B352" t="s">
        <v>13</v>
      </c>
      <c r="C352" t="s">
        <v>8</v>
      </c>
      <c r="D352">
        <v>10</v>
      </c>
      <c r="G352" s="3"/>
      <c r="N352">
        <v>45.03</v>
      </c>
      <c r="O352">
        <v>42.87</v>
      </c>
      <c r="P352">
        <v>24.46</v>
      </c>
      <c r="Q352">
        <v>49.35</v>
      </c>
      <c r="R352">
        <v>29.7</v>
      </c>
      <c r="S352">
        <v>11.545999999999999</v>
      </c>
    </row>
    <row r="353" spans="1:19">
      <c r="A353">
        <v>2025</v>
      </c>
      <c r="B353" t="s">
        <v>13</v>
      </c>
      <c r="C353" t="s">
        <v>8</v>
      </c>
      <c r="D353">
        <v>11</v>
      </c>
      <c r="G353" s="3"/>
      <c r="N353">
        <v>36.950000000000003</v>
      </c>
      <c r="O353">
        <v>44.85</v>
      </c>
      <c r="P353">
        <v>23.87</v>
      </c>
      <c r="Q353">
        <v>50.8</v>
      </c>
      <c r="R353">
        <v>28.03</v>
      </c>
      <c r="S353">
        <v>8.7840000000000007</v>
      </c>
    </row>
    <row r="354" spans="1:19">
      <c r="A354">
        <v>2025</v>
      </c>
      <c r="B354" t="s">
        <v>13</v>
      </c>
      <c r="C354" t="s">
        <v>8</v>
      </c>
      <c r="D354">
        <v>11</v>
      </c>
      <c r="G354" s="3"/>
      <c r="N354">
        <v>46.1</v>
      </c>
      <c r="O354">
        <v>46.05</v>
      </c>
      <c r="P354">
        <v>29.64</v>
      </c>
      <c r="Q354">
        <v>54.77</v>
      </c>
      <c r="R354">
        <v>32.76</v>
      </c>
      <c r="S354">
        <v>9.6460000000000008</v>
      </c>
    </row>
    <row r="355" spans="1:19">
      <c r="A355">
        <v>2025</v>
      </c>
      <c r="B355" t="s">
        <v>13</v>
      </c>
      <c r="C355" t="s">
        <v>8</v>
      </c>
      <c r="D355">
        <v>12</v>
      </c>
      <c r="G355" s="3"/>
      <c r="N355">
        <v>34.9</v>
      </c>
      <c r="O355">
        <v>49.12</v>
      </c>
      <c r="P355">
        <v>23.72</v>
      </c>
      <c r="Q355">
        <v>54.54</v>
      </c>
      <c r="R355">
        <v>25.77</v>
      </c>
      <c r="S355">
        <v>8.8719999999999999</v>
      </c>
    </row>
    <row r="356" spans="1:19">
      <c r="A356">
        <v>2025</v>
      </c>
      <c r="B356" t="s">
        <v>13</v>
      </c>
      <c r="C356" t="s">
        <v>8</v>
      </c>
      <c r="D356">
        <v>12</v>
      </c>
      <c r="G356" s="3"/>
      <c r="N356">
        <v>46.16</v>
      </c>
      <c r="O356">
        <v>43.07</v>
      </c>
      <c r="P356">
        <v>26.58</v>
      </c>
      <c r="Q356">
        <v>50.61</v>
      </c>
      <c r="R356">
        <v>31.68</v>
      </c>
      <c r="S356">
        <v>10.007</v>
      </c>
    </row>
    <row r="357" spans="1:19">
      <c r="A357">
        <v>2025</v>
      </c>
      <c r="B357" t="s">
        <v>13</v>
      </c>
      <c r="C357" t="s">
        <v>8</v>
      </c>
      <c r="D357">
        <v>13</v>
      </c>
      <c r="G357" s="3"/>
      <c r="N357">
        <v>29.74</v>
      </c>
      <c r="O357">
        <v>45.13</v>
      </c>
      <c r="P357">
        <v>19.5</v>
      </c>
      <c r="Q357">
        <v>49.17</v>
      </c>
      <c r="R357">
        <v>23.36</v>
      </c>
      <c r="S357">
        <v>8.5449999999999999</v>
      </c>
    </row>
    <row r="358" spans="1:19">
      <c r="A358">
        <v>2025</v>
      </c>
      <c r="B358" t="s">
        <v>13</v>
      </c>
      <c r="C358" t="s">
        <v>8</v>
      </c>
      <c r="D358">
        <v>13</v>
      </c>
      <c r="G358" s="3"/>
      <c r="N358">
        <v>46.74</v>
      </c>
      <c r="O358">
        <v>43.16</v>
      </c>
      <c r="P358">
        <v>26.84</v>
      </c>
      <c r="Q358">
        <v>50.83</v>
      </c>
      <c r="R358">
        <v>31.87</v>
      </c>
      <c r="S358">
        <v>9.0410000000000004</v>
      </c>
    </row>
    <row r="359" spans="1:19">
      <c r="A359">
        <v>2025</v>
      </c>
      <c r="B359" t="s">
        <v>13</v>
      </c>
      <c r="C359" t="s">
        <v>8</v>
      </c>
      <c r="D359">
        <v>14</v>
      </c>
      <c r="G359" s="3"/>
      <c r="N359">
        <v>39.090000000000003</v>
      </c>
      <c r="O359">
        <v>43.06</v>
      </c>
      <c r="P359">
        <v>21.61</v>
      </c>
      <c r="Q359">
        <v>48.18</v>
      </c>
      <c r="R359">
        <v>26.65</v>
      </c>
      <c r="S359">
        <v>12.313000000000001</v>
      </c>
    </row>
    <row r="360" spans="1:19">
      <c r="A360">
        <v>2025</v>
      </c>
      <c r="B360" t="s">
        <v>13</v>
      </c>
      <c r="C360" t="s">
        <v>8</v>
      </c>
      <c r="D360">
        <v>14</v>
      </c>
      <c r="G360" s="3"/>
      <c r="N360">
        <v>43.22</v>
      </c>
      <c r="O360">
        <v>37.35</v>
      </c>
      <c r="P360">
        <v>23.59</v>
      </c>
      <c r="Q360">
        <v>44.18</v>
      </c>
      <c r="R360">
        <v>32.28</v>
      </c>
      <c r="S360">
        <v>10.161</v>
      </c>
    </row>
    <row r="361" spans="1:19">
      <c r="A361">
        <v>2025</v>
      </c>
      <c r="B361" t="s">
        <v>13</v>
      </c>
      <c r="C361" t="s">
        <v>8</v>
      </c>
      <c r="D361">
        <v>15</v>
      </c>
      <c r="G361" s="3"/>
      <c r="N361">
        <v>31.38</v>
      </c>
      <c r="O361">
        <v>47.38</v>
      </c>
      <c r="P361">
        <v>20.16</v>
      </c>
      <c r="Q361">
        <v>51.49</v>
      </c>
      <c r="R361">
        <v>23.05</v>
      </c>
      <c r="S361">
        <v>10.537000000000001</v>
      </c>
    </row>
    <row r="362" spans="1:19">
      <c r="A362">
        <v>2025</v>
      </c>
      <c r="B362" t="s">
        <v>13</v>
      </c>
      <c r="C362" t="s">
        <v>8</v>
      </c>
      <c r="D362">
        <v>15</v>
      </c>
      <c r="G362" s="3"/>
      <c r="N362">
        <v>45.2</v>
      </c>
      <c r="O362">
        <v>41.46</v>
      </c>
      <c r="P362">
        <v>25.9</v>
      </c>
      <c r="Q362">
        <v>48.89</v>
      </c>
      <c r="R362">
        <v>32</v>
      </c>
      <c r="S362">
        <v>10.275</v>
      </c>
    </row>
    <row r="363" spans="1:19">
      <c r="A363">
        <v>2025</v>
      </c>
      <c r="B363" t="s">
        <v>13</v>
      </c>
      <c r="C363" t="s">
        <v>10</v>
      </c>
      <c r="D363">
        <v>1</v>
      </c>
      <c r="G363" s="3"/>
      <c r="N363">
        <v>33.479999999999997</v>
      </c>
      <c r="O363">
        <v>39.54</v>
      </c>
      <c r="P363">
        <v>18.25</v>
      </c>
      <c r="Q363">
        <v>43.55</v>
      </c>
      <c r="R363">
        <v>24.78</v>
      </c>
      <c r="S363">
        <v>10.11</v>
      </c>
    </row>
    <row r="364" spans="1:19">
      <c r="A364">
        <v>2025</v>
      </c>
      <c r="B364" t="s">
        <v>13</v>
      </c>
      <c r="C364" t="s">
        <v>10</v>
      </c>
      <c r="D364">
        <v>1</v>
      </c>
      <c r="G364" s="3"/>
      <c r="N364">
        <v>49.56</v>
      </c>
      <c r="O364">
        <v>37.93</v>
      </c>
      <c r="P364">
        <v>25.53</v>
      </c>
      <c r="Q364">
        <v>45.73</v>
      </c>
      <c r="R364">
        <v>33.94</v>
      </c>
      <c r="S364">
        <v>8.3360000000000003</v>
      </c>
    </row>
    <row r="365" spans="1:19">
      <c r="A365">
        <v>2025</v>
      </c>
      <c r="B365" t="s">
        <v>13</v>
      </c>
      <c r="C365" t="s">
        <v>10</v>
      </c>
      <c r="D365">
        <v>2</v>
      </c>
      <c r="G365" s="3"/>
      <c r="N365">
        <v>31.93</v>
      </c>
      <c r="O365">
        <v>38.26</v>
      </c>
      <c r="P365">
        <v>14.79</v>
      </c>
      <c r="Q365">
        <v>41.02</v>
      </c>
      <c r="R365">
        <v>21.14</v>
      </c>
      <c r="S365">
        <v>9.1959999999999997</v>
      </c>
    </row>
    <row r="366" spans="1:19">
      <c r="A366">
        <v>2025</v>
      </c>
      <c r="B366" t="s">
        <v>13</v>
      </c>
      <c r="C366" t="s">
        <v>10</v>
      </c>
      <c r="D366">
        <v>2</v>
      </c>
      <c r="G366" s="3"/>
      <c r="N366">
        <v>44.06</v>
      </c>
      <c r="O366">
        <v>43.87</v>
      </c>
      <c r="P366">
        <v>27.2</v>
      </c>
      <c r="Q366">
        <v>51.62</v>
      </c>
      <c r="R366">
        <v>31.8</v>
      </c>
      <c r="S366">
        <v>9.1679999999999993</v>
      </c>
    </row>
    <row r="367" spans="1:19">
      <c r="A367">
        <v>2025</v>
      </c>
      <c r="B367" t="s">
        <v>13</v>
      </c>
      <c r="C367" t="s">
        <v>10</v>
      </c>
      <c r="D367">
        <v>3</v>
      </c>
      <c r="G367" s="3"/>
      <c r="N367">
        <v>37.04</v>
      </c>
      <c r="O367">
        <v>40.69</v>
      </c>
      <c r="P367">
        <v>18.03</v>
      </c>
      <c r="Q367">
        <v>44.5</v>
      </c>
      <c r="R367">
        <v>23.9</v>
      </c>
      <c r="S367">
        <v>9.4480000000000004</v>
      </c>
    </row>
    <row r="368" spans="1:19">
      <c r="A368">
        <v>2025</v>
      </c>
      <c r="B368" t="s">
        <v>13</v>
      </c>
      <c r="C368" t="s">
        <v>10</v>
      </c>
      <c r="D368">
        <v>3</v>
      </c>
      <c r="G368" s="3"/>
      <c r="N368">
        <v>34.93</v>
      </c>
      <c r="O368">
        <v>38.520000000000003</v>
      </c>
      <c r="P368">
        <v>15.2</v>
      </c>
      <c r="Q368">
        <v>41.41</v>
      </c>
      <c r="R368">
        <v>21.54</v>
      </c>
      <c r="S368">
        <v>8.2910000000000004</v>
      </c>
    </row>
    <row r="369" spans="1:19">
      <c r="A369">
        <v>2025</v>
      </c>
      <c r="B369" t="s">
        <v>13</v>
      </c>
      <c r="C369" t="s">
        <v>10</v>
      </c>
      <c r="D369">
        <v>4</v>
      </c>
      <c r="G369" s="3"/>
      <c r="N369">
        <v>39.68</v>
      </c>
      <c r="O369">
        <v>41.67</v>
      </c>
      <c r="P369">
        <v>20.67</v>
      </c>
      <c r="Q369">
        <v>46.52</v>
      </c>
      <c r="R369">
        <v>26.39</v>
      </c>
      <c r="S369">
        <v>14.553000000000001</v>
      </c>
    </row>
    <row r="370" spans="1:19">
      <c r="A370">
        <v>2025</v>
      </c>
      <c r="B370" t="s">
        <v>13</v>
      </c>
      <c r="C370" t="s">
        <v>10</v>
      </c>
      <c r="D370">
        <v>4</v>
      </c>
      <c r="G370" s="3"/>
      <c r="N370">
        <v>63.67</v>
      </c>
      <c r="O370">
        <v>22.07</v>
      </c>
      <c r="P370">
        <v>25.93</v>
      </c>
      <c r="Q370">
        <v>34.049999999999997</v>
      </c>
      <c r="R370">
        <v>49.6</v>
      </c>
      <c r="S370">
        <v>11.109</v>
      </c>
    </row>
    <row r="371" spans="1:19">
      <c r="A371">
        <v>2025</v>
      </c>
      <c r="B371" t="s">
        <v>13</v>
      </c>
      <c r="C371" t="s">
        <v>10</v>
      </c>
      <c r="D371">
        <v>5</v>
      </c>
      <c r="G371" s="3"/>
      <c r="N371">
        <v>35.549999999999997</v>
      </c>
      <c r="O371">
        <v>42.08</v>
      </c>
      <c r="P371">
        <v>19.440000000000001</v>
      </c>
      <c r="Q371">
        <v>46.35</v>
      </c>
      <c r="R371">
        <v>24.8</v>
      </c>
      <c r="S371">
        <v>11.999000000000001</v>
      </c>
    </row>
    <row r="372" spans="1:19">
      <c r="A372">
        <v>2025</v>
      </c>
      <c r="B372" t="s">
        <v>13</v>
      </c>
      <c r="C372" t="s">
        <v>10</v>
      </c>
      <c r="D372">
        <v>5</v>
      </c>
      <c r="G372" s="3"/>
      <c r="N372">
        <v>53.82</v>
      </c>
      <c r="O372">
        <v>34.85</v>
      </c>
      <c r="P372">
        <v>25.81</v>
      </c>
      <c r="Q372">
        <v>43.37</v>
      </c>
      <c r="R372">
        <v>36.53</v>
      </c>
      <c r="S372">
        <v>11.861000000000001</v>
      </c>
    </row>
    <row r="373" spans="1:19">
      <c r="A373">
        <v>2025</v>
      </c>
      <c r="B373" t="s">
        <v>13</v>
      </c>
      <c r="C373" t="s">
        <v>10</v>
      </c>
      <c r="D373">
        <v>6</v>
      </c>
      <c r="G373" s="3"/>
      <c r="N373">
        <v>36.07</v>
      </c>
      <c r="O373">
        <v>39.75</v>
      </c>
      <c r="P373">
        <v>18.02</v>
      </c>
      <c r="Q373">
        <v>43.65</v>
      </c>
      <c r="R373">
        <v>24.39</v>
      </c>
      <c r="S373">
        <v>9.1739999999999995</v>
      </c>
    </row>
    <row r="374" spans="1:19">
      <c r="A374">
        <v>2025</v>
      </c>
      <c r="B374" t="s">
        <v>13</v>
      </c>
      <c r="C374" t="s">
        <v>10</v>
      </c>
      <c r="D374">
        <v>6</v>
      </c>
      <c r="G374" s="3"/>
      <c r="N374">
        <v>50.49</v>
      </c>
      <c r="O374">
        <v>40.880000000000003</v>
      </c>
      <c r="P374">
        <v>25.39</v>
      </c>
      <c r="Q374">
        <v>48.12</v>
      </c>
      <c r="R374">
        <v>31.85</v>
      </c>
      <c r="S374">
        <v>8.4659999999999993</v>
      </c>
    </row>
    <row r="375" spans="1:19">
      <c r="A375">
        <v>2025</v>
      </c>
      <c r="B375" t="s">
        <v>13</v>
      </c>
      <c r="C375" t="s">
        <v>10</v>
      </c>
      <c r="D375">
        <v>7</v>
      </c>
      <c r="G375" s="3"/>
      <c r="N375">
        <v>35.630000000000003</v>
      </c>
      <c r="O375">
        <v>44.83</v>
      </c>
      <c r="P375">
        <v>21.15</v>
      </c>
      <c r="Q375">
        <v>49.57</v>
      </c>
      <c r="R375">
        <v>25.26</v>
      </c>
      <c r="S375">
        <v>8.92</v>
      </c>
    </row>
    <row r="376" spans="1:19">
      <c r="A376">
        <v>2025</v>
      </c>
      <c r="B376" t="s">
        <v>13</v>
      </c>
      <c r="C376" t="s">
        <v>10</v>
      </c>
      <c r="D376">
        <v>7</v>
      </c>
      <c r="G376" s="3"/>
      <c r="N376">
        <v>53.46</v>
      </c>
      <c r="O376">
        <v>39.119999999999997</v>
      </c>
      <c r="P376">
        <v>30.83</v>
      </c>
      <c r="Q376">
        <v>49.81</v>
      </c>
      <c r="R376">
        <v>38.24</v>
      </c>
      <c r="S376">
        <v>9.4629999999999992</v>
      </c>
    </row>
    <row r="377" spans="1:19">
      <c r="A377">
        <v>2025</v>
      </c>
      <c r="B377" t="s">
        <v>13</v>
      </c>
      <c r="C377" t="s">
        <v>10</v>
      </c>
      <c r="D377">
        <v>8</v>
      </c>
      <c r="G377" s="3"/>
      <c r="N377">
        <v>29.27</v>
      </c>
      <c r="O377">
        <v>40.54</v>
      </c>
      <c r="P377">
        <v>14.75</v>
      </c>
      <c r="Q377">
        <v>43.14</v>
      </c>
      <c r="R377">
        <v>19.989999999999998</v>
      </c>
      <c r="S377">
        <v>10.598000000000001</v>
      </c>
    </row>
    <row r="378" spans="1:19">
      <c r="A378">
        <v>2025</v>
      </c>
      <c r="B378" t="s">
        <v>13</v>
      </c>
      <c r="C378" t="s">
        <v>10</v>
      </c>
      <c r="D378">
        <v>8</v>
      </c>
      <c r="G378" s="3"/>
      <c r="N378">
        <v>41.23</v>
      </c>
      <c r="O378">
        <v>42.36</v>
      </c>
      <c r="P378">
        <v>22.59</v>
      </c>
      <c r="Q378">
        <v>48</v>
      </c>
      <c r="R378">
        <v>28.07</v>
      </c>
      <c r="S378">
        <v>12.18</v>
      </c>
    </row>
    <row r="379" spans="1:19">
      <c r="A379">
        <v>2025</v>
      </c>
      <c r="B379" t="s">
        <v>13</v>
      </c>
      <c r="C379" t="s">
        <v>10</v>
      </c>
      <c r="D379">
        <v>9</v>
      </c>
      <c r="G379" s="3"/>
      <c r="N379">
        <v>44.82</v>
      </c>
      <c r="O379">
        <v>42.18</v>
      </c>
      <c r="P379">
        <v>25.15</v>
      </c>
      <c r="Q379">
        <v>49.11</v>
      </c>
      <c r="R379">
        <v>30.81</v>
      </c>
      <c r="S379">
        <v>8.91</v>
      </c>
    </row>
    <row r="380" spans="1:19">
      <c r="A380">
        <v>2025</v>
      </c>
      <c r="B380" t="s">
        <v>13</v>
      </c>
      <c r="C380" t="s">
        <v>10</v>
      </c>
      <c r="D380">
        <v>9</v>
      </c>
      <c r="G380" s="3"/>
      <c r="N380">
        <v>39.65</v>
      </c>
      <c r="O380">
        <v>45.66</v>
      </c>
      <c r="P380">
        <v>26.3</v>
      </c>
      <c r="Q380">
        <v>52.69</v>
      </c>
      <c r="R380">
        <v>29.95</v>
      </c>
      <c r="S380">
        <v>8.2140000000000004</v>
      </c>
    </row>
    <row r="381" spans="1:19">
      <c r="A381">
        <v>2025</v>
      </c>
      <c r="B381" t="s">
        <v>13</v>
      </c>
      <c r="C381" t="s">
        <v>10</v>
      </c>
      <c r="D381">
        <v>10</v>
      </c>
      <c r="G381" s="3"/>
      <c r="N381">
        <v>29.67</v>
      </c>
      <c r="O381">
        <v>36.75</v>
      </c>
      <c r="P381">
        <v>12.11</v>
      </c>
      <c r="Q381">
        <v>38.69</v>
      </c>
      <c r="R381">
        <v>18.239999999999998</v>
      </c>
      <c r="S381">
        <v>11.63</v>
      </c>
    </row>
    <row r="382" spans="1:19">
      <c r="A382">
        <v>2025</v>
      </c>
      <c r="B382" t="s">
        <v>13</v>
      </c>
      <c r="C382" t="s">
        <v>10</v>
      </c>
      <c r="D382">
        <v>10</v>
      </c>
      <c r="G382" s="3"/>
      <c r="N382">
        <v>38.619999999999997</v>
      </c>
      <c r="O382">
        <v>43.59</v>
      </c>
      <c r="P382">
        <v>23.31</v>
      </c>
      <c r="Q382">
        <v>49.43</v>
      </c>
      <c r="R382">
        <v>28.14</v>
      </c>
      <c r="S382">
        <v>11.1</v>
      </c>
    </row>
    <row r="383" spans="1:19">
      <c r="A383">
        <v>2025</v>
      </c>
      <c r="B383" t="s">
        <v>13</v>
      </c>
      <c r="C383" t="s">
        <v>10</v>
      </c>
      <c r="D383">
        <v>11</v>
      </c>
      <c r="G383" s="3"/>
      <c r="N383">
        <v>32.85</v>
      </c>
      <c r="O383">
        <v>41.92</v>
      </c>
      <c r="P383">
        <v>18.02</v>
      </c>
      <c r="Q383">
        <v>45.63</v>
      </c>
      <c r="R383">
        <v>23.26</v>
      </c>
      <c r="S383">
        <v>9.9450000000000003</v>
      </c>
    </row>
    <row r="384" spans="1:19">
      <c r="A384">
        <v>2025</v>
      </c>
      <c r="B384" t="s">
        <v>13</v>
      </c>
      <c r="C384" t="s">
        <v>10</v>
      </c>
      <c r="D384">
        <v>11</v>
      </c>
      <c r="G384" s="3"/>
      <c r="N384">
        <v>34.299999999999997</v>
      </c>
      <c r="O384">
        <v>41.09</v>
      </c>
      <c r="P384">
        <v>19.2</v>
      </c>
      <c r="Q384">
        <v>45.35</v>
      </c>
      <c r="R384">
        <v>25.05</v>
      </c>
      <c r="S384">
        <v>8.4429999999999996</v>
      </c>
    </row>
    <row r="385" spans="1:19">
      <c r="A385">
        <v>2025</v>
      </c>
      <c r="B385" t="s">
        <v>13</v>
      </c>
      <c r="C385" t="s">
        <v>10</v>
      </c>
      <c r="D385">
        <v>12</v>
      </c>
      <c r="G385" s="3"/>
      <c r="N385">
        <v>25.56</v>
      </c>
      <c r="O385">
        <v>37.97</v>
      </c>
      <c r="P385">
        <v>12.76</v>
      </c>
      <c r="Q385">
        <v>40.049999999999997</v>
      </c>
      <c r="R385">
        <v>18.579999999999998</v>
      </c>
      <c r="S385">
        <v>9.5419999999999998</v>
      </c>
    </row>
    <row r="386" spans="1:19">
      <c r="A386">
        <v>2025</v>
      </c>
      <c r="B386" t="s">
        <v>13</v>
      </c>
      <c r="C386" t="s">
        <v>10</v>
      </c>
      <c r="D386">
        <v>12</v>
      </c>
      <c r="G386" s="3"/>
      <c r="N386">
        <v>51.39</v>
      </c>
      <c r="O386">
        <v>39.39</v>
      </c>
      <c r="P386">
        <v>28.69</v>
      </c>
      <c r="Q386">
        <v>48.73</v>
      </c>
      <c r="R386">
        <v>36.07</v>
      </c>
      <c r="S386">
        <v>8.2249999999999996</v>
      </c>
    </row>
    <row r="387" spans="1:19">
      <c r="A387">
        <v>2025</v>
      </c>
      <c r="B387" t="s">
        <v>13</v>
      </c>
      <c r="C387" t="s">
        <v>10</v>
      </c>
      <c r="D387">
        <v>13</v>
      </c>
      <c r="G387" s="3"/>
      <c r="N387">
        <v>35.020000000000003</v>
      </c>
      <c r="O387">
        <v>40.340000000000003</v>
      </c>
      <c r="P387">
        <v>17.760000000000002</v>
      </c>
      <c r="Q387">
        <v>44.08</v>
      </c>
      <c r="R387">
        <v>23.76</v>
      </c>
      <c r="S387">
        <v>8.6649999999999991</v>
      </c>
    </row>
    <row r="388" spans="1:19">
      <c r="A388">
        <v>2025</v>
      </c>
      <c r="B388" t="s">
        <v>13</v>
      </c>
      <c r="C388" t="s">
        <v>10</v>
      </c>
      <c r="D388">
        <v>13</v>
      </c>
      <c r="G388" s="3"/>
      <c r="N388">
        <v>38.83</v>
      </c>
      <c r="O388">
        <v>42.18</v>
      </c>
      <c r="P388">
        <v>20.440000000000001</v>
      </c>
      <c r="Q388">
        <v>46.87</v>
      </c>
      <c r="R388">
        <v>25.86</v>
      </c>
      <c r="S388">
        <v>9.2789999999999999</v>
      </c>
    </row>
    <row r="389" spans="1:19">
      <c r="A389">
        <v>2025</v>
      </c>
      <c r="B389" t="s">
        <v>13</v>
      </c>
      <c r="C389" t="s">
        <v>10</v>
      </c>
      <c r="D389">
        <v>14</v>
      </c>
      <c r="G389" s="3"/>
      <c r="N389">
        <v>38.06</v>
      </c>
      <c r="O389">
        <v>43.27</v>
      </c>
      <c r="P389">
        <v>21.61</v>
      </c>
      <c r="Q389">
        <v>48.37</v>
      </c>
      <c r="R389">
        <v>26.54</v>
      </c>
      <c r="S389">
        <v>7.984</v>
      </c>
    </row>
    <row r="390" spans="1:19">
      <c r="A390">
        <v>2025</v>
      </c>
      <c r="B390" t="s">
        <v>13</v>
      </c>
      <c r="C390" t="s">
        <v>10</v>
      </c>
      <c r="D390">
        <v>14</v>
      </c>
      <c r="G390" s="3"/>
      <c r="N390">
        <v>42.53</v>
      </c>
      <c r="O390">
        <v>40.85</v>
      </c>
      <c r="P390">
        <v>25.02</v>
      </c>
      <c r="Q390">
        <v>47.91</v>
      </c>
      <c r="R390">
        <v>31.49</v>
      </c>
      <c r="S390">
        <v>8.5380000000000003</v>
      </c>
    </row>
    <row r="391" spans="1:19">
      <c r="A391">
        <v>2025</v>
      </c>
      <c r="B391" t="s">
        <v>13</v>
      </c>
      <c r="C391" t="s">
        <v>10</v>
      </c>
      <c r="D391">
        <v>15</v>
      </c>
      <c r="G391" s="3"/>
      <c r="N391">
        <v>33.29</v>
      </c>
      <c r="O391">
        <v>40.590000000000003</v>
      </c>
      <c r="P391">
        <v>15.42</v>
      </c>
      <c r="Q391">
        <v>43.42</v>
      </c>
      <c r="R391">
        <v>20.8</v>
      </c>
      <c r="S391">
        <v>6.6349999999999998</v>
      </c>
    </row>
    <row r="392" spans="1:19">
      <c r="A392">
        <v>2025</v>
      </c>
      <c r="B392" t="s">
        <v>13</v>
      </c>
      <c r="C392" t="s">
        <v>10</v>
      </c>
      <c r="D392">
        <v>15</v>
      </c>
      <c r="G392" s="3"/>
      <c r="N392">
        <v>38.32</v>
      </c>
      <c r="O392">
        <v>43.43</v>
      </c>
      <c r="P392">
        <v>20.79</v>
      </c>
      <c r="Q392">
        <v>48.15</v>
      </c>
      <c r="R392">
        <v>25.58</v>
      </c>
      <c r="S392">
        <v>8.5310000000000006</v>
      </c>
    </row>
    <row r="393" spans="1:19">
      <c r="A393">
        <v>2025</v>
      </c>
      <c r="B393" t="s">
        <v>13</v>
      </c>
      <c r="C393" t="s">
        <v>7</v>
      </c>
      <c r="D393">
        <v>1</v>
      </c>
      <c r="G393" s="3"/>
      <c r="N393">
        <v>32.89</v>
      </c>
      <c r="O393">
        <v>45.52</v>
      </c>
      <c r="P393">
        <v>21.35</v>
      </c>
      <c r="Q393">
        <v>50.28</v>
      </c>
      <c r="R393">
        <v>25.13</v>
      </c>
      <c r="S393">
        <v>8.64</v>
      </c>
    </row>
    <row r="394" spans="1:19">
      <c r="A394">
        <v>2025</v>
      </c>
      <c r="B394" t="s">
        <v>13</v>
      </c>
      <c r="C394" t="s">
        <v>7</v>
      </c>
      <c r="D394">
        <v>1</v>
      </c>
      <c r="G394" s="3"/>
      <c r="N394">
        <v>48.18</v>
      </c>
      <c r="O394">
        <v>42.43</v>
      </c>
      <c r="P394">
        <v>25.11</v>
      </c>
      <c r="Q394">
        <v>49.3</v>
      </c>
      <c r="R394">
        <v>30.62</v>
      </c>
      <c r="S394">
        <v>9.0860000000000003</v>
      </c>
    </row>
    <row r="395" spans="1:19">
      <c r="A395">
        <v>2025</v>
      </c>
      <c r="B395" t="s">
        <v>13</v>
      </c>
      <c r="C395" t="s">
        <v>7</v>
      </c>
      <c r="D395">
        <v>2</v>
      </c>
      <c r="G395" s="3"/>
      <c r="N395">
        <v>41.92</v>
      </c>
      <c r="O395">
        <v>46.38</v>
      </c>
      <c r="P395">
        <v>28.64</v>
      </c>
      <c r="Q395">
        <v>54.5</v>
      </c>
      <c r="R395">
        <v>31.69</v>
      </c>
      <c r="S395">
        <v>8.4860000000000007</v>
      </c>
    </row>
    <row r="396" spans="1:19">
      <c r="A396">
        <v>2025</v>
      </c>
      <c r="B396" t="s">
        <v>13</v>
      </c>
      <c r="C396" t="s">
        <v>7</v>
      </c>
      <c r="D396">
        <v>2</v>
      </c>
      <c r="G396" s="3"/>
      <c r="N396">
        <v>39.42</v>
      </c>
      <c r="O396">
        <v>41.62</v>
      </c>
      <c r="P396">
        <v>21.33</v>
      </c>
      <c r="Q396">
        <v>46.77</v>
      </c>
      <c r="R396">
        <v>27.14</v>
      </c>
      <c r="S396">
        <v>8.7850000000000001</v>
      </c>
    </row>
    <row r="397" spans="1:19">
      <c r="A397">
        <v>2025</v>
      </c>
      <c r="B397" t="s">
        <v>13</v>
      </c>
      <c r="C397" t="s">
        <v>7</v>
      </c>
      <c r="D397">
        <v>3</v>
      </c>
      <c r="G397" s="3"/>
      <c r="N397">
        <v>30.88</v>
      </c>
      <c r="O397">
        <v>43.55</v>
      </c>
      <c r="P397">
        <v>19.68</v>
      </c>
      <c r="Q397">
        <v>47.79</v>
      </c>
      <c r="R397">
        <v>24.32</v>
      </c>
      <c r="S397">
        <v>8.3789999999999996</v>
      </c>
    </row>
    <row r="398" spans="1:19">
      <c r="A398">
        <v>2025</v>
      </c>
      <c r="B398" t="s">
        <v>13</v>
      </c>
      <c r="C398" t="s">
        <v>7</v>
      </c>
      <c r="D398">
        <v>3</v>
      </c>
      <c r="G398" s="3"/>
      <c r="N398">
        <v>48.14</v>
      </c>
      <c r="O398">
        <v>44.33</v>
      </c>
      <c r="P398">
        <v>30.35</v>
      </c>
      <c r="Q398">
        <v>53.72</v>
      </c>
      <c r="R398">
        <v>34.4</v>
      </c>
      <c r="S398">
        <v>9.2750000000000004</v>
      </c>
    </row>
    <row r="399" spans="1:19">
      <c r="A399">
        <v>2025</v>
      </c>
      <c r="B399" t="s">
        <v>13</v>
      </c>
      <c r="C399" t="s">
        <v>7</v>
      </c>
      <c r="D399">
        <v>4</v>
      </c>
      <c r="G399" s="3"/>
      <c r="N399">
        <v>36.119999999999997</v>
      </c>
      <c r="O399">
        <v>47.36</v>
      </c>
      <c r="P399">
        <v>25.17</v>
      </c>
      <c r="Q399">
        <v>53.63</v>
      </c>
      <c r="R399">
        <v>27.99</v>
      </c>
      <c r="S399">
        <v>10.222</v>
      </c>
    </row>
    <row r="400" spans="1:19">
      <c r="A400">
        <v>2025</v>
      </c>
      <c r="B400" t="s">
        <v>13</v>
      </c>
      <c r="C400" t="s">
        <v>7</v>
      </c>
      <c r="D400">
        <v>4</v>
      </c>
      <c r="G400" s="3"/>
      <c r="N400">
        <v>40.57</v>
      </c>
      <c r="O400">
        <v>46.05</v>
      </c>
      <c r="P400">
        <v>27.23</v>
      </c>
      <c r="Q400">
        <v>53.5</v>
      </c>
      <c r="R400">
        <v>30.59</v>
      </c>
      <c r="S400">
        <v>8.6620000000000008</v>
      </c>
    </row>
    <row r="401" spans="1:19">
      <c r="A401">
        <v>2025</v>
      </c>
      <c r="B401" t="s">
        <v>13</v>
      </c>
      <c r="C401" t="s">
        <v>7</v>
      </c>
      <c r="D401">
        <v>5</v>
      </c>
      <c r="G401" s="3"/>
      <c r="N401">
        <v>35.22</v>
      </c>
      <c r="O401">
        <v>43.76</v>
      </c>
      <c r="P401">
        <v>19.68</v>
      </c>
      <c r="Q401">
        <v>47.98</v>
      </c>
      <c r="R401">
        <v>24.21</v>
      </c>
      <c r="S401">
        <v>9.2360000000000007</v>
      </c>
    </row>
    <row r="402" spans="1:19">
      <c r="A402">
        <v>2025</v>
      </c>
      <c r="B402" t="s">
        <v>13</v>
      </c>
      <c r="C402" t="s">
        <v>7</v>
      </c>
      <c r="D402">
        <v>5</v>
      </c>
      <c r="G402" s="3"/>
      <c r="N402">
        <v>46.46</v>
      </c>
      <c r="O402">
        <v>42.23</v>
      </c>
      <c r="P402">
        <v>26.25</v>
      </c>
      <c r="Q402">
        <v>49.72</v>
      </c>
      <c r="R402">
        <v>31.87</v>
      </c>
      <c r="S402">
        <v>9.4410000000000007</v>
      </c>
    </row>
    <row r="403" spans="1:19">
      <c r="A403">
        <v>2025</v>
      </c>
      <c r="B403" t="s">
        <v>13</v>
      </c>
      <c r="C403" t="s">
        <v>7</v>
      </c>
      <c r="D403">
        <v>6</v>
      </c>
      <c r="G403" s="3"/>
      <c r="N403">
        <v>35.25</v>
      </c>
      <c r="O403">
        <v>44.62</v>
      </c>
      <c r="P403">
        <v>21.57</v>
      </c>
      <c r="Q403">
        <v>49.56</v>
      </c>
      <c r="R403">
        <v>25.79</v>
      </c>
      <c r="S403">
        <v>8.3930000000000007</v>
      </c>
    </row>
    <row r="404" spans="1:19">
      <c r="A404">
        <v>2025</v>
      </c>
      <c r="B404" t="s">
        <v>13</v>
      </c>
      <c r="C404" t="s">
        <v>7</v>
      </c>
      <c r="D404">
        <v>6</v>
      </c>
      <c r="G404" s="3"/>
      <c r="N404">
        <v>46.35</v>
      </c>
      <c r="O404">
        <v>43.55</v>
      </c>
      <c r="P404">
        <v>26.36</v>
      </c>
      <c r="Q404">
        <v>50.91</v>
      </c>
      <c r="R404">
        <v>31.19</v>
      </c>
      <c r="S404">
        <v>8.2919999999999998</v>
      </c>
    </row>
    <row r="405" spans="1:19">
      <c r="A405">
        <v>2025</v>
      </c>
      <c r="B405" t="s">
        <v>13</v>
      </c>
      <c r="C405" t="s">
        <v>7</v>
      </c>
      <c r="D405">
        <v>7</v>
      </c>
      <c r="G405" s="3"/>
      <c r="N405">
        <v>37.33</v>
      </c>
      <c r="O405">
        <v>43.63</v>
      </c>
      <c r="P405">
        <v>21.63</v>
      </c>
      <c r="Q405">
        <v>48.7</v>
      </c>
      <c r="R405">
        <v>26.37</v>
      </c>
      <c r="S405">
        <v>8.5459999999999994</v>
      </c>
    </row>
    <row r="406" spans="1:19">
      <c r="A406">
        <v>2025</v>
      </c>
      <c r="B406" t="s">
        <v>13</v>
      </c>
      <c r="C406" t="s">
        <v>7</v>
      </c>
      <c r="D406">
        <v>7</v>
      </c>
      <c r="G406" s="3"/>
      <c r="N406">
        <v>53.51</v>
      </c>
      <c r="O406">
        <v>36.07</v>
      </c>
      <c r="P406">
        <v>25.97</v>
      </c>
      <c r="Q406">
        <v>44.44</v>
      </c>
      <c r="R406">
        <v>35.75</v>
      </c>
      <c r="S406">
        <v>9.1050000000000004</v>
      </c>
    </row>
    <row r="407" spans="1:19">
      <c r="A407">
        <v>2025</v>
      </c>
      <c r="B407" t="s">
        <v>13</v>
      </c>
      <c r="C407" t="s">
        <v>7</v>
      </c>
      <c r="D407">
        <v>8</v>
      </c>
      <c r="G407" s="3"/>
      <c r="N407">
        <v>35.4</v>
      </c>
      <c r="O407">
        <v>42.47</v>
      </c>
      <c r="P407">
        <v>21.46</v>
      </c>
      <c r="Q407">
        <v>47.58</v>
      </c>
      <c r="R407">
        <v>26.81</v>
      </c>
      <c r="S407">
        <v>8.6679999999999993</v>
      </c>
    </row>
    <row r="408" spans="1:19">
      <c r="A408">
        <v>2025</v>
      </c>
      <c r="B408" t="s">
        <v>13</v>
      </c>
      <c r="C408" t="s">
        <v>7</v>
      </c>
      <c r="D408">
        <v>8</v>
      </c>
      <c r="G408" s="3"/>
      <c r="N408">
        <v>67.959999999999994</v>
      </c>
      <c r="O408">
        <v>20.64</v>
      </c>
      <c r="P408">
        <v>29.33</v>
      </c>
      <c r="Q408">
        <v>35.86</v>
      </c>
      <c r="R408">
        <v>54.86</v>
      </c>
      <c r="S408">
        <v>9.4689999999999994</v>
      </c>
    </row>
    <row r="409" spans="1:19">
      <c r="A409">
        <v>2025</v>
      </c>
      <c r="B409" t="s">
        <v>13</v>
      </c>
      <c r="C409" t="s">
        <v>7</v>
      </c>
      <c r="D409">
        <v>9</v>
      </c>
      <c r="G409" s="3"/>
      <c r="N409">
        <v>42.31</v>
      </c>
      <c r="O409">
        <v>46.94</v>
      </c>
      <c r="P409">
        <v>30.38</v>
      </c>
      <c r="Q409">
        <v>55.91</v>
      </c>
      <c r="R409">
        <v>32.909999999999997</v>
      </c>
      <c r="S409">
        <v>7.5339999999999998</v>
      </c>
    </row>
    <row r="410" spans="1:19">
      <c r="A410">
        <v>2025</v>
      </c>
      <c r="B410" t="s">
        <v>13</v>
      </c>
      <c r="C410" t="s">
        <v>7</v>
      </c>
      <c r="D410">
        <v>9</v>
      </c>
      <c r="G410" s="3"/>
      <c r="N410">
        <v>44.46</v>
      </c>
      <c r="O410">
        <v>47.81</v>
      </c>
      <c r="P410">
        <v>29.48</v>
      </c>
      <c r="Q410">
        <v>56.16</v>
      </c>
      <c r="R410">
        <v>31.66</v>
      </c>
      <c r="S410">
        <v>7.7069999999999999</v>
      </c>
    </row>
    <row r="411" spans="1:19">
      <c r="A411">
        <v>2025</v>
      </c>
      <c r="B411" t="s">
        <v>13</v>
      </c>
      <c r="C411" t="s">
        <v>7</v>
      </c>
      <c r="D411">
        <v>10</v>
      </c>
      <c r="G411" s="3"/>
      <c r="N411">
        <v>34.130000000000003</v>
      </c>
      <c r="O411">
        <v>42.65</v>
      </c>
      <c r="P411">
        <v>19.54</v>
      </c>
      <c r="Q411">
        <v>46.92</v>
      </c>
      <c r="R411">
        <v>24.62</v>
      </c>
      <c r="S411">
        <v>8.0779999999999994</v>
      </c>
    </row>
    <row r="412" spans="1:19">
      <c r="A412">
        <v>2025</v>
      </c>
      <c r="B412" t="s">
        <v>13</v>
      </c>
      <c r="C412" t="s">
        <v>7</v>
      </c>
      <c r="D412">
        <v>10</v>
      </c>
      <c r="G412" s="3"/>
      <c r="N412">
        <v>64.180000000000007</v>
      </c>
      <c r="O412">
        <v>23.35</v>
      </c>
      <c r="P412">
        <v>32.409999999999997</v>
      </c>
      <c r="Q412">
        <v>39.94</v>
      </c>
      <c r="R412">
        <v>54.22</v>
      </c>
      <c r="S412">
        <v>8.42</v>
      </c>
    </row>
    <row r="413" spans="1:19">
      <c r="A413">
        <v>2025</v>
      </c>
      <c r="B413" t="s">
        <v>13</v>
      </c>
      <c r="C413" t="s">
        <v>7</v>
      </c>
      <c r="D413">
        <v>11</v>
      </c>
      <c r="G413" s="3"/>
      <c r="N413">
        <v>37.049999999999997</v>
      </c>
      <c r="O413">
        <v>45.55</v>
      </c>
      <c r="P413">
        <v>23.56</v>
      </c>
      <c r="Q413">
        <v>51.28</v>
      </c>
      <c r="R413">
        <v>27.35</v>
      </c>
      <c r="S413">
        <v>10.661</v>
      </c>
    </row>
    <row r="414" spans="1:19">
      <c r="A414">
        <v>2025</v>
      </c>
      <c r="B414" t="s">
        <v>13</v>
      </c>
      <c r="C414" t="s">
        <v>7</v>
      </c>
      <c r="D414">
        <v>11</v>
      </c>
      <c r="G414" s="3"/>
      <c r="N414">
        <v>49.37</v>
      </c>
      <c r="O414">
        <v>37.869999999999997</v>
      </c>
      <c r="P414">
        <v>26.14</v>
      </c>
      <c r="Q414">
        <v>46.02</v>
      </c>
      <c r="R414">
        <v>34.619999999999997</v>
      </c>
      <c r="S414">
        <v>9.6890000000000001</v>
      </c>
    </row>
    <row r="415" spans="1:19">
      <c r="A415">
        <v>2025</v>
      </c>
      <c r="B415" t="s">
        <v>13</v>
      </c>
      <c r="C415" t="s">
        <v>7</v>
      </c>
      <c r="D415">
        <v>12</v>
      </c>
      <c r="G415" s="3"/>
      <c r="N415">
        <v>31.68</v>
      </c>
      <c r="O415">
        <v>45.77</v>
      </c>
      <c r="P415">
        <v>23.08</v>
      </c>
      <c r="Q415">
        <v>51.26</v>
      </c>
      <c r="R415">
        <v>26.76</v>
      </c>
      <c r="S415">
        <v>8.9510000000000005</v>
      </c>
    </row>
    <row r="416" spans="1:19">
      <c r="A416">
        <v>2025</v>
      </c>
      <c r="B416" t="s">
        <v>13</v>
      </c>
      <c r="C416" t="s">
        <v>7</v>
      </c>
      <c r="D416">
        <v>12</v>
      </c>
      <c r="G416" s="3"/>
      <c r="N416">
        <v>64.81</v>
      </c>
      <c r="O416">
        <v>25.5</v>
      </c>
      <c r="P416">
        <v>33.24</v>
      </c>
      <c r="Q416">
        <v>41.89</v>
      </c>
      <c r="R416">
        <v>52.51</v>
      </c>
      <c r="S416">
        <v>10.039</v>
      </c>
    </row>
    <row r="417" spans="1:19">
      <c r="A417">
        <v>2025</v>
      </c>
      <c r="B417" t="s">
        <v>13</v>
      </c>
      <c r="C417" t="s">
        <v>7</v>
      </c>
      <c r="D417">
        <v>13</v>
      </c>
      <c r="G417" s="3"/>
      <c r="N417">
        <v>28.79</v>
      </c>
      <c r="O417">
        <v>40.869999999999997</v>
      </c>
      <c r="P417">
        <v>15.63</v>
      </c>
      <c r="Q417">
        <v>43.76</v>
      </c>
      <c r="R417">
        <v>20.93</v>
      </c>
      <c r="S417">
        <v>8.2159999999999993</v>
      </c>
    </row>
    <row r="418" spans="1:19">
      <c r="A418">
        <v>2025</v>
      </c>
      <c r="B418" t="s">
        <v>13</v>
      </c>
      <c r="C418" t="s">
        <v>7</v>
      </c>
      <c r="D418">
        <v>13</v>
      </c>
      <c r="G418" s="3"/>
      <c r="N418">
        <v>41.56</v>
      </c>
      <c r="O418">
        <v>41.56</v>
      </c>
      <c r="P418">
        <v>23.22</v>
      </c>
      <c r="Q418">
        <v>47.61</v>
      </c>
      <c r="R418">
        <v>29.19</v>
      </c>
      <c r="S418">
        <v>9.4350000000000005</v>
      </c>
    </row>
    <row r="419" spans="1:19">
      <c r="A419">
        <v>2025</v>
      </c>
      <c r="B419" t="s">
        <v>13</v>
      </c>
      <c r="C419" t="s">
        <v>7</v>
      </c>
      <c r="D419">
        <v>14</v>
      </c>
      <c r="G419" s="3"/>
      <c r="N419">
        <v>34.17</v>
      </c>
      <c r="O419">
        <v>44.29</v>
      </c>
      <c r="P419">
        <v>21.05</v>
      </c>
      <c r="Q419">
        <v>49.04</v>
      </c>
      <c r="R419">
        <v>25.42</v>
      </c>
      <c r="S419">
        <v>9.6479999999999997</v>
      </c>
    </row>
    <row r="420" spans="1:19">
      <c r="A420">
        <v>2025</v>
      </c>
      <c r="B420" t="s">
        <v>13</v>
      </c>
      <c r="C420" t="s">
        <v>7</v>
      </c>
      <c r="D420">
        <v>14</v>
      </c>
      <c r="G420" s="3"/>
      <c r="N420">
        <v>37.880000000000003</v>
      </c>
      <c r="O420">
        <v>46.44</v>
      </c>
      <c r="P420">
        <v>26.36</v>
      </c>
      <c r="Q420">
        <v>53.4</v>
      </c>
      <c r="R420">
        <v>29.58</v>
      </c>
      <c r="S420">
        <v>10.186</v>
      </c>
    </row>
    <row r="421" spans="1:19">
      <c r="A421">
        <v>2025</v>
      </c>
      <c r="B421" t="s">
        <v>13</v>
      </c>
      <c r="C421" t="s">
        <v>7</v>
      </c>
      <c r="D421">
        <v>15</v>
      </c>
      <c r="G421" s="3"/>
      <c r="N421">
        <v>35.69</v>
      </c>
      <c r="O421">
        <v>43.61</v>
      </c>
      <c r="P421">
        <v>19.649999999999999</v>
      </c>
      <c r="Q421">
        <v>47.83</v>
      </c>
      <c r="R421">
        <v>24.26</v>
      </c>
      <c r="S421">
        <v>6.39</v>
      </c>
    </row>
    <row r="422" spans="1:19">
      <c r="A422">
        <v>2025</v>
      </c>
      <c r="B422" t="s">
        <v>13</v>
      </c>
      <c r="C422" t="s">
        <v>7</v>
      </c>
      <c r="D422">
        <v>15</v>
      </c>
      <c r="G422" s="3"/>
      <c r="N422">
        <v>37.74</v>
      </c>
      <c r="O422">
        <v>46.09</v>
      </c>
      <c r="P422">
        <v>25.56</v>
      </c>
      <c r="Q422">
        <v>52.7</v>
      </c>
      <c r="R422">
        <v>29.01</v>
      </c>
      <c r="S422">
        <v>7.0869999999999997</v>
      </c>
    </row>
    <row r="423" spans="1:19">
      <c r="A423">
        <v>2025</v>
      </c>
      <c r="B423" t="s">
        <v>13</v>
      </c>
      <c r="C423" t="s">
        <v>6</v>
      </c>
      <c r="D423">
        <v>1</v>
      </c>
      <c r="G423" s="3"/>
      <c r="N423">
        <v>45.34</v>
      </c>
      <c r="O423">
        <v>42.32</v>
      </c>
      <c r="P423">
        <v>24.67</v>
      </c>
      <c r="Q423">
        <v>48.99</v>
      </c>
      <c r="R423">
        <v>30.24</v>
      </c>
      <c r="S423">
        <v>7.8440000000000003</v>
      </c>
    </row>
    <row r="424" spans="1:19">
      <c r="A424">
        <v>2025</v>
      </c>
      <c r="B424" t="s">
        <v>13</v>
      </c>
      <c r="C424" t="s">
        <v>6</v>
      </c>
      <c r="D424">
        <v>1</v>
      </c>
      <c r="G424" s="3"/>
      <c r="N424">
        <v>43.27</v>
      </c>
      <c r="O424">
        <v>41.56</v>
      </c>
      <c r="P424">
        <v>24.25</v>
      </c>
      <c r="Q424">
        <v>48.12</v>
      </c>
      <c r="R424">
        <v>30.27</v>
      </c>
      <c r="S424">
        <v>7.9130000000000003</v>
      </c>
    </row>
    <row r="425" spans="1:19">
      <c r="A425">
        <v>2025</v>
      </c>
      <c r="B425" t="s">
        <v>13</v>
      </c>
      <c r="C425" t="s">
        <v>6</v>
      </c>
      <c r="D425">
        <v>2</v>
      </c>
      <c r="G425" s="3"/>
      <c r="N425">
        <v>44.99</v>
      </c>
      <c r="O425">
        <v>40.409999999999997</v>
      </c>
      <c r="P425">
        <v>24.31</v>
      </c>
      <c r="Q425">
        <v>47.15</v>
      </c>
      <c r="R425">
        <v>31.03</v>
      </c>
      <c r="S425">
        <v>8.6270000000000007</v>
      </c>
    </row>
    <row r="426" spans="1:19">
      <c r="A426">
        <v>2025</v>
      </c>
      <c r="B426" t="s">
        <v>13</v>
      </c>
      <c r="C426" t="s">
        <v>6</v>
      </c>
      <c r="D426">
        <v>2</v>
      </c>
      <c r="G426" s="3"/>
      <c r="N426">
        <v>40.880000000000003</v>
      </c>
      <c r="O426">
        <v>42.58</v>
      </c>
      <c r="P426">
        <v>24.25</v>
      </c>
      <c r="Q426">
        <v>49</v>
      </c>
      <c r="R426">
        <v>29.66</v>
      </c>
      <c r="S426">
        <v>7.8449999999999998</v>
      </c>
    </row>
    <row r="427" spans="1:19">
      <c r="A427">
        <v>2025</v>
      </c>
      <c r="B427" t="s">
        <v>13</v>
      </c>
      <c r="C427" t="s">
        <v>6</v>
      </c>
      <c r="D427">
        <v>3</v>
      </c>
      <c r="G427" s="3"/>
      <c r="N427">
        <v>34.96</v>
      </c>
      <c r="O427">
        <v>42.39</v>
      </c>
      <c r="P427">
        <v>19.27</v>
      </c>
      <c r="Q427">
        <v>46.56</v>
      </c>
      <c r="R427">
        <v>24.45</v>
      </c>
      <c r="S427">
        <v>9.5809999999999995</v>
      </c>
    </row>
    <row r="428" spans="1:19">
      <c r="A428">
        <v>2025</v>
      </c>
      <c r="B428" t="s">
        <v>13</v>
      </c>
      <c r="C428" t="s">
        <v>6</v>
      </c>
      <c r="D428">
        <v>3</v>
      </c>
      <c r="G428" s="3"/>
      <c r="N428">
        <v>41.03</v>
      </c>
      <c r="O428">
        <v>45.26</v>
      </c>
      <c r="P428">
        <v>25.11</v>
      </c>
      <c r="Q428">
        <v>51.76</v>
      </c>
      <c r="R428">
        <v>29.03</v>
      </c>
      <c r="S428">
        <v>8.1760000000000002</v>
      </c>
    </row>
    <row r="429" spans="1:19">
      <c r="A429">
        <v>2025</v>
      </c>
      <c r="B429" t="s">
        <v>13</v>
      </c>
      <c r="C429" t="s">
        <v>6</v>
      </c>
      <c r="D429">
        <v>4</v>
      </c>
      <c r="G429" s="3"/>
      <c r="N429">
        <v>30.32</v>
      </c>
      <c r="O429">
        <v>45.45</v>
      </c>
      <c r="P429">
        <v>19.170000000000002</v>
      </c>
      <c r="Q429">
        <v>49.33</v>
      </c>
      <c r="R429">
        <v>22.86</v>
      </c>
      <c r="S429">
        <v>12.1</v>
      </c>
    </row>
    <row r="430" spans="1:19">
      <c r="A430">
        <v>2025</v>
      </c>
      <c r="B430" t="s">
        <v>13</v>
      </c>
      <c r="C430" t="s">
        <v>6</v>
      </c>
      <c r="D430">
        <v>4</v>
      </c>
      <c r="G430" s="3"/>
      <c r="N430">
        <v>49.19</v>
      </c>
      <c r="O430">
        <v>38.86</v>
      </c>
      <c r="P430">
        <v>23.09</v>
      </c>
      <c r="Q430">
        <v>45.2</v>
      </c>
      <c r="R430">
        <v>30.72</v>
      </c>
      <c r="S430">
        <v>8.5440000000000005</v>
      </c>
    </row>
    <row r="431" spans="1:19">
      <c r="A431">
        <v>2025</v>
      </c>
      <c r="B431" t="s">
        <v>13</v>
      </c>
      <c r="C431" t="s">
        <v>6</v>
      </c>
      <c r="D431">
        <v>5</v>
      </c>
      <c r="G431" s="3"/>
      <c r="N431">
        <v>33.82</v>
      </c>
      <c r="O431">
        <v>41.72</v>
      </c>
      <c r="P431">
        <v>17.23</v>
      </c>
      <c r="Q431">
        <v>45.14</v>
      </c>
      <c r="R431">
        <v>22.44</v>
      </c>
      <c r="S431">
        <v>9.5259999999999998</v>
      </c>
    </row>
    <row r="432" spans="1:19">
      <c r="A432">
        <v>2025</v>
      </c>
      <c r="B432" t="s">
        <v>13</v>
      </c>
      <c r="C432" t="s">
        <v>6</v>
      </c>
      <c r="D432">
        <v>5</v>
      </c>
      <c r="G432" s="3"/>
      <c r="N432">
        <v>46.28</v>
      </c>
      <c r="O432">
        <v>42.81</v>
      </c>
      <c r="P432">
        <v>25.4</v>
      </c>
      <c r="Q432">
        <v>49.77</v>
      </c>
      <c r="R432">
        <v>30.68</v>
      </c>
      <c r="S432">
        <v>9.89</v>
      </c>
    </row>
    <row r="433" spans="1:19">
      <c r="A433">
        <v>2025</v>
      </c>
      <c r="B433" t="s">
        <v>13</v>
      </c>
      <c r="C433" t="s">
        <v>6</v>
      </c>
      <c r="D433">
        <v>6</v>
      </c>
      <c r="G433" s="3"/>
      <c r="N433">
        <v>35.39</v>
      </c>
      <c r="O433">
        <v>42.1</v>
      </c>
      <c r="P433">
        <v>21.2</v>
      </c>
      <c r="Q433">
        <v>47.13</v>
      </c>
      <c r="R433">
        <v>26.73</v>
      </c>
      <c r="S433">
        <v>9.2889999999999997</v>
      </c>
    </row>
    <row r="434" spans="1:19">
      <c r="A434">
        <v>2025</v>
      </c>
      <c r="B434" t="s">
        <v>13</v>
      </c>
      <c r="C434" t="s">
        <v>6</v>
      </c>
      <c r="D434">
        <v>6</v>
      </c>
      <c r="G434" s="3"/>
      <c r="N434">
        <v>40.340000000000003</v>
      </c>
      <c r="O434">
        <v>44.24</v>
      </c>
      <c r="P434">
        <v>24.58</v>
      </c>
      <c r="Q434">
        <v>50.61</v>
      </c>
      <c r="R434">
        <v>29.05</v>
      </c>
      <c r="S434">
        <v>10.744999999999999</v>
      </c>
    </row>
    <row r="435" spans="1:19">
      <c r="A435">
        <v>2025</v>
      </c>
      <c r="B435" t="s">
        <v>13</v>
      </c>
      <c r="C435" t="s">
        <v>6</v>
      </c>
      <c r="D435">
        <v>7</v>
      </c>
      <c r="G435" s="3"/>
      <c r="N435">
        <v>34.51</v>
      </c>
      <c r="O435">
        <v>46.49</v>
      </c>
      <c r="P435">
        <v>19.86</v>
      </c>
      <c r="Q435">
        <v>50.55</v>
      </c>
      <c r="R435">
        <v>23.13</v>
      </c>
      <c r="S435">
        <v>9.516</v>
      </c>
    </row>
    <row r="436" spans="1:19">
      <c r="A436">
        <v>2025</v>
      </c>
      <c r="B436" t="s">
        <v>13</v>
      </c>
      <c r="C436" t="s">
        <v>6</v>
      </c>
      <c r="D436">
        <v>7</v>
      </c>
      <c r="G436" s="3"/>
      <c r="N436">
        <v>46.78</v>
      </c>
      <c r="O436">
        <v>42.43</v>
      </c>
      <c r="P436">
        <v>24.31</v>
      </c>
      <c r="Q436">
        <v>48.91</v>
      </c>
      <c r="R436">
        <v>29.81</v>
      </c>
      <c r="S436">
        <v>10.209</v>
      </c>
    </row>
    <row r="437" spans="1:19">
      <c r="A437">
        <v>2025</v>
      </c>
      <c r="B437" t="s">
        <v>13</v>
      </c>
      <c r="C437" t="s">
        <v>6</v>
      </c>
      <c r="D437">
        <v>8</v>
      </c>
      <c r="G437" s="3"/>
      <c r="N437">
        <v>39.85</v>
      </c>
      <c r="O437">
        <v>44.38</v>
      </c>
      <c r="P437">
        <v>26.59</v>
      </c>
      <c r="Q437">
        <v>51.73</v>
      </c>
      <c r="R437">
        <v>30.93</v>
      </c>
      <c r="S437">
        <v>9.1620000000000008</v>
      </c>
    </row>
    <row r="438" spans="1:19">
      <c r="A438">
        <v>2025</v>
      </c>
      <c r="B438" t="s">
        <v>13</v>
      </c>
      <c r="C438" t="s">
        <v>6</v>
      </c>
      <c r="D438">
        <v>8</v>
      </c>
      <c r="G438" s="3"/>
      <c r="N438">
        <v>37.369999999999997</v>
      </c>
      <c r="O438">
        <v>42.83</v>
      </c>
      <c r="P438">
        <v>23.15</v>
      </c>
      <c r="Q438">
        <v>48.68</v>
      </c>
      <c r="R438">
        <v>28.39</v>
      </c>
      <c r="S438">
        <v>9.2140000000000004</v>
      </c>
    </row>
    <row r="439" spans="1:19">
      <c r="A439">
        <v>2025</v>
      </c>
      <c r="B439" t="s">
        <v>13</v>
      </c>
      <c r="C439" t="s">
        <v>6</v>
      </c>
      <c r="D439">
        <v>9</v>
      </c>
      <c r="G439" s="3"/>
      <c r="N439">
        <v>36.92</v>
      </c>
      <c r="O439">
        <v>41.49</v>
      </c>
      <c r="P439">
        <v>22.29</v>
      </c>
      <c r="Q439">
        <v>47.1</v>
      </c>
      <c r="R439">
        <v>28.25</v>
      </c>
      <c r="S439">
        <v>8.5039999999999996</v>
      </c>
    </row>
    <row r="440" spans="1:19">
      <c r="A440">
        <v>2025</v>
      </c>
      <c r="B440" t="s">
        <v>13</v>
      </c>
      <c r="C440" t="s">
        <v>6</v>
      </c>
      <c r="D440">
        <v>9</v>
      </c>
      <c r="G440" s="3"/>
      <c r="N440">
        <v>54.36</v>
      </c>
      <c r="O440">
        <v>33.82</v>
      </c>
      <c r="P440">
        <v>26.06</v>
      </c>
      <c r="Q440">
        <v>42.7</v>
      </c>
      <c r="R440">
        <v>37.61</v>
      </c>
      <c r="S440">
        <v>8.1509999999999998</v>
      </c>
    </row>
    <row r="441" spans="1:19">
      <c r="A441">
        <v>2025</v>
      </c>
      <c r="B441" s="4" t="s">
        <v>13</v>
      </c>
      <c r="C441" t="s">
        <v>6</v>
      </c>
      <c r="D441">
        <v>10</v>
      </c>
      <c r="G441" s="3"/>
      <c r="N441">
        <v>35.99</v>
      </c>
      <c r="O441">
        <v>42.52</v>
      </c>
      <c r="P441">
        <v>18.87</v>
      </c>
      <c r="Q441">
        <v>46.52</v>
      </c>
      <c r="R441">
        <v>23.94</v>
      </c>
      <c r="S441">
        <v>9.7080000000000002</v>
      </c>
    </row>
    <row r="442" spans="1:19">
      <c r="A442">
        <v>2025</v>
      </c>
      <c r="B442" s="4" t="s">
        <v>13</v>
      </c>
      <c r="C442" t="s">
        <v>6</v>
      </c>
      <c r="D442">
        <v>10</v>
      </c>
      <c r="G442" s="3"/>
      <c r="N442">
        <v>42.66</v>
      </c>
      <c r="O442">
        <v>43.33</v>
      </c>
      <c r="P442">
        <v>25.96</v>
      </c>
      <c r="Q442">
        <v>50.51</v>
      </c>
      <c r="R442">
        <v>30.93</v>
      </c>
      <c r="S442">
        <v>9.6809999999999992</v>
      </c>
    </row>
    <row r="443" spans="1:19">
      <c r="A443">
        <v>2025</v>
      </c>
      <c r="B443" s="4" t="s">
        <v>13</v>
      </c>
      <c r="C443" t="s">
        <v>6</v>
      </c>
      <c r="D443">
        <v>11</v>
      </c>
      <c r="G443" s="3"/>
      <c r="N443">
        <v>39.6</v>
      </c>
      <c r="O443">
        <v>46.33</v>
      </c>
      <c r="P443">
        <v>23.14</v>
      </c>
      <c r="Q443">
        <v>51.78</v>
      </c>
      <c r="R443">
        <v>26.54</v>
      </c>
      <c r="S443">
        <v>14.122</v>
      </c>
    </row>
    <row r="444" spans="1:19">
      <c r="A444">
        <v>2025</v>
      </c>
      <c r="B444" s="4" t="s">
        <v>13</v>
      </c>
      <c r="C444" t="s">
        <v>6</v>
      </c>
      <c r="D444">
        <v>11</v>
      </c>
      <c r="G444" s="3"/>
      <c r="N444">
        <v>59.98</v>
      </c>
      <c r="O444">
        <v>27.38</v>
      </c>
      <c r="P444">
        <v>29.79</v>
      </c>
      <c r="Q444">
        <v>40.46</v>
      </c>
      <c r="R444">
        <v>47.41</v>
      </c>
      <c r="S444">
        <v>14.516999999999999</v>
      </c>
    </row>
    <row r="445" spans="1:19">
      <c r="A445">
        <v>2025</v>
      </c>
      <c r="B445" s="4" t="s">
        <v>13</v>
      </c>
      <c r="C445" t="s">
        <v>6</v>
      </c>
      <c r="D445">
        <v>12</v>
      </c>
      <c r="G445" s="3"/>
      <c r="N445">
        <v>35.090000000000003</v>
      </c>
      <c r="O445">
        <v>43.99</v>
      </c>
      <c r="P445">
        <v>20.04</v>
      </c>
      <c r="Q445">
        <v>48.33</v>
      </c>
      <c r="R445">
        <v>24.49</v>
      </c>
      <c r="S445">
        <v>9.6150000000000002</v>
      </c>
    </row>
    <row r="446" spans="1:19">
      <c r="A446">
        <v>2025</v>
      </c>
      <c r="B446" s="4" t="s">
        <v>13</v>
      </c>
      <c r="C446" t="s">
        <v>6</v>
      </c>
      <c r="D446">
        <v>12</v>
      </c>
      <c r="G446" s="3"/>
      <c r="N446">
        <v>49.04</v>
      </c>
      <c r="O446">
        <v>41.92</v>
      </c>
      <c r="P446">
        <v>26.34</v>
      </c>
      <c r="Q446">
        <v>49.51</v>
      </c>
      <c r="R446">
        <v>32.15</v>
      </c>
      <c r="S446">
        <v>9.6270000000000007</v>
      </c>
    </row>
    <row r="447" spans="1:19">
      <c r="A447">
        <v>2025</v>
      </c>
      <c r="B447" s="4" t="s">
        <v>13</v>
      </c>
      <c r="C447" t="s">
        <v>6</v>
      </c>
      <c r="D447">
        <v>13</v>
      </c>
      <c r="G447" s="3"/>
      <c r="N447">
        <v>32.659999999999997</v>
      </c>
      <c r="O447">
        <v>45.83</v>
      </c>
      <c r="P447">
        <v>21.09</v>
      </c>
      <c r="Q447">
        <v>50.44</v>
      </c>
      <c r="R447">
        <v>24.71</v>
      </c>
      <c r="S447">
        <v>7.891</v>
      </c>
    </row>
    <row r="448" spans="1:19">
      <c r="A448">
        <v>2025</v>
      </c>
      <c r="B448" s="4" t="s">
        <v>13</v>
      </c>
      <c r="C448" t="s">
        <v>6</v>
      </c>
      <c r="D448">
        <v>13</v>
      </c>
      <c r="G448" s="3"/>
      <c r="N448">
        <v>45.81</v>
      </c>
      <c r="O448">
        <v>45.2</v>
      </c>
      <c r="P448">
        <v>29.15</v>
      </c>
      <c r="Q448">
        <v>53.79</v>
      </c>
      <c r="R448">
        <v>32.82</v>
      </c>
      <c r="S448">
        <v>9.9130000000000003</v>
      </c>
    </row>
    <row r="449" spans="1:19">
      <c r="A449">
        <v>2025</v>
      </c>
      <c r="B449" s="4" t="s">
        <v>13</v>
      </c>
      <c r="C449" t="s">
        <v>6</v>
      </c>
      <c r="D449">
        <v>14</v>
      </c>
      <c r="G449" s="3"/>
      <c r="N449">
        <v>40.44</v>
      </c>
      <c r="O449">
        <v>47.36</v>
      </c>
      <c r="P449">
        <v>24.25</v>
      </c>
      <c r="Q449">
        <v>53.21</v>
      </c>
      <c r="R449">
        <v>27.12</v>
      </c>
      <c r="S449">
        <v>9.3930000000000007</v>
      </c>
    </row>
    <row r="450" spans="1:19">
      <c r="A450">
        <v>2025</v>
      </c>
      <c r="B450" s="4" t="s">
        <v>13</v>
      </c>
      <c r="C450" t="s">
        <v>6</v>
      </c>
      <c r="D450">
        <v>14</v>
      </c>
      <c r="G450" s="3"/>
      <c r="N450">
        <v>49.11</v>
      </c>
      <c r="O450">
        <v>42.62</v>
      </c>
      <c r="P450">
        <v>27.77</v>
      </c>
      <c r="Q450">
        <v>50.87</v>
      </c>
      <c r="R450">
        <v>33.090000000000003</v>
      </c>
      <c r="S450">
        <v>9.8740000000000006</v>
      </c>
    </row>
    <row r="451" spans="1:19">
      <c r="A451">
        <v>2025</v>
      </c>
      <c r="B451" s="4" t="s">
        <v>13</v>
      </c>
      <c r="C451" t="s">
        <v>6</v>
      </c>
      <c r="D451">
        <v>15</v>
      </c>
      <c r="G451" s="3"/>
      <c r="N451">
        <v>35.65</v>
      </c>
      <c r="O451">
        <v>45.19</v>
      </c>
      <c r="P451">
        <v>21.14</v>
      </c>
      <c r="Q451">
        <v>49.89</v>
      </c>
      <c r="R451">
        <v>25.07</v>
      </c>
      <c r="S451">
        <v>9.3379999999999992</v>
      </c>
    </row>
    <row r="452" spans="1:19">
      <c r="A452">
        <v>2025</v>
      </c>
      <c r="B452" s="4" t="s">
        <v>13</v>
      </c>
      <c r="C452" t="s">
        <v>6</v>
      </c>
      <c r="D452">
        <v>15</v>
      </c>
      <c r="G452" s="3"/>
      <c r="N452">
        <v>36.799999999999997</v>
      </c>
      <c r="O452">
        <v>44.04</v>
      </c>
      <c r="P452">
        <v>20.75</v>
      </c>
      <c r="Q452">
        <v>48.68</v>
      </c>
      <c r="R452">
        <v>25.23</v>
      </c>
      <c r="S452">
        <v>10.085000000000001</v>
      </c>
    </row>
    <row r="453" spans="1:19">
      <c r="A453">
        <v>2025</v>
      </c>
      <c r="B453" s="4" t="s">
        <v>11</v>
      </c>
      <c r="C453" t="s">
        <v>8</v>
      </c>
      <c r="D453">
        <v>1</v>
      </c>
      <c r="G453" s="3"/>
      <c r="N453">
        <v>45.67</v>
      </c>
      <c r="O453">
        <v>41.99</v>
      </c>
      <c r="P453">
        <v>24.9</v>
      </c>
      <c r="Q453">
        <v>48.82</v>
      </c>
      <c r="R453">
        <v>30.67</v>
      </c>
      <c r="S453">
        <v>11.95</v>
      </c>
    </row>
    <row r="454" spans="1:19">
      <c r="A454">
        <v>2025</v>
      </c>
      <c r="B454" s="4" t="s">
        <v>11</v>
      </c>
      <c r="C454" t="s">
        <v>8</v>
      </c>
      <c r="D454">
        <v>1</v>
      </c>
      <c r="G454" s="3"/>
      <c r="N454">
        <v>58.09</v>
      </c>
      <c r="O454">
        <v>23.7</v>
      </c>
      <c r="P454">
        <v>28.01</v>
      </c>
      <c r="Q454">
        <v>36.69</v>
      </c>
      <c r="R454">
        <v>49.77</v>
      </c>
      <c r="S454">
        <v>12.913</v>
      </c>
    </row>
    <row r="455" spans="1:19">
      <c r="A455">
        <v>2025</v>
      </c>
      <c r="B455" s="4" t="s">
        <v>11</v>
      </c>
      <c r="C455" t="s">
        <v>8</v>
      </c>
      <c r="D455">
        <v>2</v>
      </c>
      <c r="G455" s="3"/>
      <c r="N455">
        <v>43.78</v>
      </c>
      <c r="O455">
        <v>43.83</v>
      </c>
      <c r="P455">
        <v>24.12</v>
      </c>
      <c r="Q455">
        <v>50.02</v>
      </c>
      <c r="R455">
        <v>28.82</v>
      </c>
      <c r="S455">
        <v>13.417</v>
      </c>
    </row>
    <row r="456" spans="1:19">
      <c r="A456">
        <v>2025</v>
      </c>
      <c r="B456" s="4" t="s">
        <v>11</v>
      </c>
      <c r="C456" t="s">
        <v>8</v>
      </c>
      <c r="D456">
        <v>2</v>
      </c>
      <c r="G456" s="3"/>
      <c r="N456">
        <v>54.16</v>
      </c>
      <c r="O456">
        <v>41</v>
      </c>
      <c r="P456">
        <v>27.93</v>
      </c>
      <c r="Q456">
        <v>49.61</v>
      </c>
      <c r="R456">
        <v>34.270000000000003</v>
      </c>
      <c r="S456">
        <v>11.032999999999999</v>
      </c>
    </row>
    <row r="457" spans="1:19">
      <c r="A457">
        <v>2025</v>
      </c>
      <c r="B457" s="4" t="s">
        <v>11</v>
      </c>
      <c r="C457" t="s">
        <v>8</v>
      </c>
      <c r="D457">
        <v>3</v>
      </c>
      <c r="G457" s="3"/>
      <c r="N457">
        <v>41.79</v>
      </c>
      <c r="O457">
        <v>42.11</v>
      </c>
      <c r="P457">
        <v>23.05</v>
      </c>
      <c r="Q457">
        <v>48</v>
      </c>
      <c r="R457">
        <v>28.69</v>
      </c>
      <c r="S457">
        <v>11.215</v>
      </c>
    </row>
    <row r="458" spans="1:19">
      <c r="A458">
        <v>2025</v>
      </c>
      <c r="B458" s="4" t="s">
        <v>11</v>
      </c>
      <c r="C458" t="s">
        <v>8</v>
      </c>
      <c r="D458">
        <v>3</v>
      </c>
      <c r="G458" s="3"/>
      <c r="N458">
        <v>51.91</v>
      </c>
      <c r="O458">
        <v>34.799999999999997</v>
      </c>
      <c r="P458">
        <v>26.1</v>
      </c>
      <c r="Q458">
        <v>43.51</v>
      </c>
      <c r="R458">
        <v>36.869999999999997</v>
      </c>
      <c r="S458">
        <v>10.121</v>
      </c>
    </row>
    <row r="459" spans="1:19">
      <c r="A459">
        <v>2025</v>
      </c>
      <c r="B459" s="4" t="s">
        <v>11</v>
      </c>
      <c r="C459" t="s">
        <v>8</v>
      </c>
      <c r="D459">
        <v>4</v>
      </c>
      <c r="G459" s="3"/>
      <c r="N459">
        <v>36.4</v>
      </c>
      <c r="O459">
        <v>44.23</v>
      </c>
      <c r="P459">
        <v>20.57</v>
      </c>
      <c r="Q459">
        <v>48.78</v>
      </c>
      <c r="R459">
        <v>24.94</v>
      </c>
      <c r="S459">
        <v>9.5359999999999996</v>
      </c>
    </row>
    <row r="460" spans="1:19">
      <c r="A460">
        <v>2025</v>
      </c>
      <c r="B460" s="4" t="s">
        <v>11</v>
      </c>
      <c r="C460" t="s">
        <v>8</v>
      </c>
      <c r="D460">
        <v>4</v>
      </c>
      <c r="G460" s="3"/>
      <c r="N460">
        <v>50.93</v>
      </c>
      <c r="O460">
        <v>40.43</v>
      </c>
      <c r="P460">
        <v>27.63</v>
      </c>
      <c r="Q460">
        <v>48.97</v>
      </c>
      <c r="R460">
        <v>34.340000000000003</v>
      </c>
      <c r="S460">
        <v>11.843999999999999</v>
      </c>
    </row>
    <row r="461" spans="1:19">
      <c r="A461">
        <v>2025</v>
      </c>
      <c r="B461" s="4" t="s">
        <v>11</v>
      </c>
      <c r="C461" t="s">
        <v>8</v>
      </c>
      <c r="D461">
        <v>5</v>
      </c>
      <c r="G461" s="3"/>
      <c r="N461">
        <v>34.5</v>
      </c>
      <c r="O461">
        <v>43.95</v>
      </c>
      <c r="P461">
        <v>20.12</v>
      </c>
      <c r="Q461">
        <v>48.33</v>
      </c>
      <c r="R461">
        <v>24.6</v>
      </c>
      <c r="S461">
        <v>9.6839999999999993</v>
      </c>
    </row>
    <row r="462" spans="1:19">
      <c r="A462">
        <v>2025</v>
      </c>
      <c r="B462" s="4" t="s">
        <v>11</v>
      </c>
      <c r="C462" t="s">
        <v>8</v>
      </c>
      <c r="D462">
        <v>5</v>
      </c>
      <c r="G462" s="3"/>
      <c r="N462">
        <v>46.23</v>
      </c>
      <c r="O462">
        <v>44.32</v>
      </c>
      <c r="P462">
        <v>27.35</v>
      </c>
      <c r="Q462">
        <v>52.08</v>
      </c>
      <c r="R462">
        <v>31.68</v>
      </c>
      <c r="S462">
        <v>9.6370000000000005</v>
      </c>
    </row>
    <row r="463" spans="1:19">
      <c r="A463">
        <v>2025</v>
      </c>
      <c r="B463" s="4" t="s">
        <v>11</v>
      </c>
      <c r="C463" t="s">
        <v>8</v>
      </c>
      <c r="D463">
        <v>6</v>
      </c>
      <c r="G463" s="3"/>
      <c r="N463">
        <v>36.020000000000003</v>
      </c>
      <c r="O463">
        <v>43.11</v>
      </c>
      <c r="P463">
        <v>21.32</v>
      </c>
      <c r="Q463">
        <v>48.09</v>
      </c>
      <c r="R463">
        <v>26.31</v>
      </c>
      <c r="S463">
        <v>11.38</v>
      </c>
    </row>
    <row r="464" spans="1:19">
      <c r="A464">
        <v>2025</v>
      </c>
      <c r="B464" s="4" t="s">
        <v>11</v>
      </c>
      <c r="C464" t="s">
        <v>8</v>
      </c>
      <c r="D464">
        <v>6</v>
      </c>
      <c r="G464" s="3"/>
      <c r="N464">
        <v>53.26</v>
      </c>
      <c r="O464">
        <v>37.17</v>
      </c>
      <c r="P464">
        <v>27.53</v>
      </c>
      <c r="Q464">
        <v>46.25</v>
      </c>
      <c r="R464">
        <v>36.53</v>
      </c>
      <c r="S464">
        <v>9.9009999999999998</v>
      </c>
    </row>
    <row r="465" spans="1:19">
      <c r="A465">
        <v>2025</v>
      </c>
      <c r="B465" s="4" t="s">
        <v>11</v>
      </c>
      <c r="C465" t="s">
        <v>8</v>
      </c>
      <c r="D465">
        <v>7</v>
      </c>
      <c r="G465" s="3"/>
      <c r="N465">
        <v>40</v>
      </c>
      <c r="O465">
        <v>44.49</v>
      </c>
      <c r="P465">
        <v>23.71</v>
      </c>
      <c r="Q465">
        <v>50.41</v>
      </c>
      <c r="R465">
        <v>28.06</v>
      </c>
      <c r="S465">
        <v>7.6890000000000001</v>
      </c>
    </row>
    <row r="466" spans="1:19">
      <c r="A466">
        <v>2025</v>
      </c>
      <c r="B466" s="4" t="s">
        <v>11</v>
      </c>
      <c r="C466" t="s">
        <v>8</v>
      </c>
      <c r="D466">
        <v>7</v>
      </c>
      <c r="G466" s="3"/>
      <c r="N466">
        <v>47.11</v>
      </c>
      <c r="O466">
        <v>47</v>
      </c>
      <c r="P466">
        <v>31.66</v>
      </c>
      <c r="Q466">
        <v>56.67</v>
      </c>
      <c r="R466">
        <v>33.96</v>
      </c>
      <c r="S466">
        <v>8.5869999999999997</v>
      </c>
    </row>
    <row r="467" spans="1:19">
      <c r="A467">
        <v>2025</v>
      </c>
      <c r="B467" s="4" t="s">
        <v>11</v>
      </c>
      <c r="C467" t="s">
        <v>8</v>
      </c>
      <c r="D467">
        <v>8</v>
      </c>
      <c r="G467" s="3"/>
      <c r="N467">
        <v>30.08</v>
      </c>
      <c r="O467">
        <v>43.3</v>
      </c>
      <c r="P467">
        <v>18.28</v>
      </c>
      <c r="Q467">
        <v>47</v>
      </c>
      <c r="R467">
        <v>22.89</v>
      </c>
      <c r="S467">
        <v>8.8089999999999993</v>
      </c>
    </row>
    <row r="468" spans="1:19">
      <c r="A468">
        <v>2025</v>
      </c>
      <c r="B468" s="4" t="s">
        <v>11</v>
      </c>
      <c r="C468" t="s">
        <v>8</v>
      </c>
      <c r="D468">
        <v>8</v>
      </c>
      <c r="G468" s="3"/>
      <c r="N468">
        <v>55.08</v>
      </c>
      <c r="O468">
        <v>39.03</v>
      </c>
      <c r="P468">
        <v>27.75</v>
      </c>
      <c r="Q468">
        <v>47.89</v>
      </c>
      <c r="R468">
        <v>35.409999999999997</v>
      </c>
      <c r="S468">
        <v>8.1929999999999996</v>
      </c>
    </row>
    <row r="469" spans="1:19">
      <c r="A469">
        <v>2025</v>
      </c>
      <c r="B469" s="4" t="s">
        <v>11</v>
      </c>
      <c r="C469" t="s">
        <v>8</v>
      </c>
      <c r="D469">
        <v>9</v>
      </c>
      <c r="G469" s="3"/>
      <c r="N469">
        <v>35.33</v>
      </c>
      <c r="O469">
        <v>44.57</v>
      </c>
      <c r="P469">
        <v>21.16</v>
      </c>
      <c r="Q469">
        <v>49.33</v>
      </c>
      <c r="R469">
        <v>25.4</v>
      </c>
      <c r="S469">
        <v>9.4689999999999994</v>
      </c>
    </row>
    <row r="470" spans="1:19">
      <c r="A470">
        <v>2025</v>
      </c>
      <c r="B470" s="4" t="s">
        <v>11</v>
      </c>
      <c r="C470" t="s">
        <v>8</v>
      </c>
      <c r="D470">
        <v>9</v>
      </c>
      <c r="G470" s="3"/>
      <c r="N470">
        <v>54.32</v>
      </c>
      <c r="O470">
        <v>36.700000000000003</v>
      </c>
      <c r="P470">
        <v>27.67</v>
      </c>
      <c r="Q470">
        <v>45.96</v>
      </c>
      <c r="R470">
        <v>37.020000000000003</v>
      </c>
      <c r="S470">
        <v>9.1969999999999992</v>
      </c>
    </row>
    <row r="471" spans="1:19">
      <c r="A471">
        <v>2025</v>
      </c>
      <c r="B471" s="4" t="s">
        <v>11</v>
      </c>
      <c r="C471" t="s">
        <v>8</v>
      </c>
      <c r="D471">
        <v>10</v>
      </c>
      <c r="G471" s="3"/>
      <c r="N471">
        <v>45.84</v>
      </c>
      <c r="O471">
        <v>43.5</v>
      </c>
      <c r="P471">
        <v>27.46</v>
      </c>
      <c r="Q471">
        <v>51.44</v>
      </c>
      <c r="R471">
        <v>32.26</v>
      </c>
      <c r="S471">
        <v>7.827</v>
      </c>
    </row>
    <row r="472" spans="1:19">
      <c r="A472">
        <v>2025</v>
      </c>
      <c r="B472" s="4" t="s">
        <v>11</v>
      </c>
      <c r="C472" t="s">
        <v>8</v>
      </c>
      <c r="D472">
        <v>10</v>
      </c>
      <c r="G472" s="3"/>
      <c r="N472">
        <v>59.23</v>
      </c>
      <c r="O472">
        <v>33.24</v>
      </c>
      <c r="P472">
        <v>29.72</v>
      </c>
      <c r="Q472">
        <v>44.59</v>
      </c>
      <c r="R472">
        <v>41.8</v>
      </c>
      <c r="S472">
        <v>9.6460000000000008</v>
      </c>
    </row>
    <row r="473" spans="1:19">
      <c r="A473">
        <v>2025</v>
      </c>
      <c r="B473" s="4" t="s">
        <v>11</v>
      </c>
      <c r="C473" t="s">
        <v>8</v>
      </c>
      <c r="D473">
        <v>11</v>
      </c>
      <c r="G473" s="3"/>
      <c r="N473">
        <v>46.02</v>
      </c>
      <c r="O473">
        <v>38.1</v>
      </c>
      <c r="P473">
        <v>25.17</v>
      </c>
      <c r="Q473">
        <v>45.67</v>
      </c>
      <c r="R473">
        <v>33.450000000000003</v>
      </c>
      <c r="S473">
        <v>12.58</v>
      </c>
    </row>
    <row r="474" spans="1:19">
      <c r="A474">
        <v>2025</v>
      </c>
      <c r="B474" s="4" t="s">
        <v>11</v>
      </c>
      <c r="C474" t="s">
        <v>8</v>
      </c>
      <c r="D474">
        <v>11</v>
      </c>
      <c r="G474" s="3"/>
      <c r="N474">
        <v>43.45</v>
      </c>
      <c r="O474">
        <v>39.46</v>
      </c>
      <c r="P474">
        <v>22.99</v>
      </c>
      <c r="Q474">
        <v>45.67</v>
      </c>
      <c r="R474">
        <v>30.23</v>
      </c>
      <c r="S474">
        <v>12.228</v>
      </c>
    </row>
    <row r="475" spans="1:19">
      <c r="A475">
        <v>2025</v>
      </c>
      <c r="B475" s="4" t="s">
        <v>11</v>
      </c>
      <c r="C475" t="s">
        <v>8</v>
      </c>
      <c r="D475">
        <v>12</v>
      </c>
      <c r="G475" s="3"/>
      <c r="N475">
        <v>38.6</v>
      </c>
      <c r="O475">
        <v>44.95</v>
      </c>
      <c r="P475">
        <v>21.12</v>
      </c>
      <c r="Q475">
        <v>49.67</v>
      </c>
      <c r="R475">
        <v>25.17</v>
      </c>
      <c r="S475">
        <v>10.81</v>
      </c>
    </row>
    <row r="476" spans="1:19">
      <c r="A476">
        <v>2025</v>
      </c>
      <c r="B476" s="4" t="s">
        <v>11</v>
      </c>
      <c r="C476" t="s">
        <v>8</v>
      </c>
      <c r="D476">
        <v>12</v>
      </c>
      <c r="G476" s="3"/>
      <c r="N476">
        <v>51.1</v>
      </c>
      <c r="O476">
        <v>36.31</v>
      </c>
      <c r="P476">
        <v>26.51</v>
      </c>
      <c r="Q476">
        <v>44.95</v>
      </c>
      <c r="R476">
        <v>36.130000000000003</v>
      </c>
      <c r="S476">
        <v>12.502000000000001</v>
      </c>
    </row>
    <row r="477" spans="1:19">
      <c r="A477">
        <v>2025</v>
      </c>
      <c r="B477" s="4" t="s">
        <v>11</v>
      </c>
      <c r="C477" t="s">
        <v>8</v>
      </c>
      <c r="D477">
        <v>13</v>
      </c>
      <c r="G477" s="3"/>
      <c r="N477">
        <v>36.74</v>
      </c>
      <c r="O477">
        <v>43.47</v>
      </c>
      <c r="P477">
        <v>20.11</v>
      </c>
      <c r="Q477">
        <v>47.9</v>
      </c>
      <c r="R477">
        <v>24.82</v>
      </c>
      <c r="S477">
        <v>11.491</v>
      </c>
    </row>
    <row r="478" spans="1:19">
      <c r="A478">
        <v>2025</v>
      </c>
      <c r="B478" s="4" t="s">
        <v>11</v>
      </c>
      <c r="C478" t="s">
        <v>8</v>
      </c>
      <c r="D478">
        <v>13</v>
      </c>
      <c r="G478" s="3"/>
      <c r="N478">
        <v>54.4</v>
      </c>
      <c r="O478">
        <v>33.47</v>
      </c>
      <c r="P478">
        <v>28.66</v>
      </c>
      <c r="Q478">
        <v>44.07</v>
      </c>
      <c r="R478">
        <v>40.57</v>
      </c>
      <c r="S478">
        <v>12.105</v>
      </c>
    </row>
    <row r="479" spans="1:19">
      <c r="A479">
        <v>2025</v>
      </c>
      <c r="B479" s="4" t="s">
        <v>11</v>
      </c>
      <c r="C479" t="s">
        <v>8</v>
      </c>
      <c r="D479">
        <v>14</v>
      </c>
      <c r="G479" s="3"/>
      <c r="N479">
        <v>32.43</v>
      </c>
      <c r="O479">
        <v>45.61</v>
      </c>
      <c r="P479">
        <v>19.46</v>
      </c>
      <c r="Q479">
        <v>49.58</v>
      </c>
      <c r="R479">
        <v>23.11</v>
      </c>
      <c r="S479">
        <v>7.6980000000000004</v>
      </c>
    </row>
    <row r="480" spans="1:19">
      <c r="A480">
        <v>2025</v>
      </c>
      <c r="B480" s="4" t="s">
        <v>11</v>
      </c>
      <c r="C480" t="s">
        <v>8</v>
      </c>
      <c r="D480">
        <v>14</v>
      </c>
      <c r="G480" s="3"/>
      <c r="N480">
        <v>55.42</v>
      </c>
      <c r="O480">
        <v>38.340000000000003</v>
      </c>
      <c r="P480">
        <v>34.79</v>
      </c>
      <c r="Q480">
        <v>51.77</v>
      </c>
      <c r="R480">
        <v>42.22</v>
      </c>
      <c r="S480">
        <v>8.5220000000000002</v>
      </c>
    </row>
    <row r="481" spans="1:19">
      <c r="A481">
        <v>2025</v>
      </c>
      <c r="B481" s="4" t="s">
        <v>11</v>
      </c>
      <c r="C481" t="s">
        <v>8</v>
      </c>
      <c r="D481">
        <v>15</v>
      </c>
      <c r="G481" s="3"/>
      <c r="N481">
        <v>34.36</v>
      </c>
      <c r="O481">
        <v>45.24</v>
      </c>
      <c r="P481">
        <v>22.01</v>
      </c>
      <c r="Q481">
        <v>50.31</v>
      </c>
      <c r="R481">
        <v>25.94</v>
      </c>
      <c r="S481">
        <v>8.2210000000000001</v>
      </c>
    </row>
    <row r="482" spans="1:19">
      <c r="A482">
        <v>2025</v>
      </c>
      <c r="B482" s="4" t="s">
        <v>11</v>
      </c>
      <c r="C482" t="s">
        <v>8</v>
      </c>
      <c r="D482">
        <v>15</v>
      </c>
      <c r="G482" s="3"/>
      <c r="N482">
        <v>44.1</v>
      </c>
      <c r="O482">
        <v>42.63</v>
      </c>
      <c r="P482">
        <v>26.51</v>
      </c>
      <c r="Q482">
        <v>50.2</v>
      </c>
      <c r="R482">
        <v>31.87</v>
      </c>
      <c r="S482">
        <v>8.4160000000000004</v>
      </c>
    </row>
    <row r="483" spans="1:19">
      <c r="A483">
        <v>2025</v>
      </c>
      <c r="B483" s="4" t="s">
        <v>11</v>
      </c>
      <c r="C483" t="s">
        <v>6</v>
      </c>
      <c r="D483">
        <v>1</v>
      </c>
      <c r="G483" s="3"/>
      <c r="N483">
        <v>33.53</v>
      </c>
      <c r="O483">
        <v>42.72</v>
      </c>
      <c r="P483">
        <v>18.850000000000001</v>
      </c>
      <c r="Q483">
        <v>46.7</v>
      </c>
      <c r="R483">
        <v>23.81</v>
      </c>
      <c r="S483">
        <v>8.9290000000000003</v>
      </c>
    </row>
    <row r="484" spans="1:19">
      <c r="A484">
        <v>2025</v>
      </c>
      <c r="B484" s="4" t="s">
        <v>11</v>
      </c>
      <c r="C484" t="s">
        <v>6</v>
      </c>
      <c r="D484">
        <v>1</v>
      </c>
      <c r="G484" s="3"/>
      <c r="N484">
        <v>67.2</v>
      </c>
      <c r="O484">
        <v>12.54</v>
      </c>
      <c r="P484">
        <v>29.49</v>
      </c>
      <c r="Q484">
        <v>32.04</v>
      </c>
      <c r="R484">
        <v>66.97</v>
      </c>
      <c r="S484">
        <v>10.523999999999999</v>
      </c>
    </row>
    <row r="485" spans="1:19">
      <c r="A485">
        <v>2025</v>
      </c>
      <c r="B485" s="4" t="s">
        <v>11</v>
      </c>
      <c r="C485" t="s">
        <v>6</v>
      </c>
      <c r="D485">
        <v>2</v>
      </c>
      <c r="G485" s="3"/>
      <c r="N485">
        <v>32.19</v>
      </c>
      <c r="O485">
        <v>42.84</v>
      </c>
      <c r="P485">
        <v>19.39</v>
      </c>
      <c r="Q485">
        <v>47.03</v>
      </c>
      <c r="R485">
        <v>24.35</v>
      </c>
      <c r="S485">
        <v>6.5129999999999999</v>
      </c>
    </row>
    <row r="486" spans="1:19">
      <c r="A486">
        <v>2025</v>
      </c>
      <c r="B486" s="4" t="s">
        <v>11</v>
      </c>
      <c r="C486" t="s">
        <v>6</v>
      </c>
      <c r="D486">
        <v>2</v>
      </c>
      <c r="G486" s="3"/>
      <c r="N486">
        <v>46.42</v>
      </c>
      <c r="O486">
        <v>42.01</v>
      </c>
      <c r="P486">
        <v>26.79</v>
      </c>
      <c r="Q486">
        <v>49.82</v>
      </c>
      <c r="R486">
        <v>32.53</v>
      </c>
      <c r="S486">
        <v>6.9020000000000001</v>
      </c>
    </row>
    <row r="487" spans="1:19">
      <c r="A487">
        <v>2025</v>
      </c>
      <c r="B487" s="4" t="s">
        <v>11</v>
      </c>
      <c r="C487" t="s">
        <v>6</v>
      </c>
      <c r="D487">
        <v>3</v>
      </c>
      <c r="G487" s="3"/>
      <c r="N487">
        <v>40.42</v>
      </c>
      <c r="O487">
        <v>40.81</v>
      </c>
      <c r="P487">
        <v>18.510000000000002</v>
      </c>
      <c r="Q487">
        <v>44.81</v>
      </c>
      <c r="R487">
        <v>24.4</v>
      </c>
      <c r="S487">
        <v>8.8699999999999992</v>
      </c>
    </row>
    <row r="488" spans="1:19">
      <c r="A488">
        <v>2025</v>
      </c>
      <c r="B488" s="4" t="s">
        <v>11</v>
      </c>
      <c r="C488" t="s">
        <v>6</v>
      </c>
      <c r="D488">
        <v>3</v>
      </c>
      <c r="G488" s="3"/>
      <c r="N488">
        <v>41.42</v>
      </c>
      <c r="O488">
        <v>40.75</v>
      </c>
      <c r="P488">
        <v>22</v>
      </c>
      <c r="Q488">
        <v>46.31</v>
      </c>
      <c r="R488">
        <v>28.36</v>
      </c>
      <c r="S488">
        <v>8.9700000000000006</v>
      </c>
    </row>
    <row r="489" spans="1:19">
      <c r="A489">
        <v>2025</v>
      </c>
      <c r="B489" s="4" t="s">
        <v>11</v>
      </c>
      <c r="C489" t="s">
        <v>6</v>
      </c>
      <c r="D489">
        <v>4</v>
      </c>
      <c r="G489" s="3"/>
      <c r="N489">
        <v>31.25</v>
      </c>
      <c r="O489">
        <v>40.630000000000003</v>
      </c>
      <c r="P489">
        <v>16.18</v>
      </c>
      <c r="Q489">
        <v>43.73</v>
      </c>
      <c r="R489">
        <v>21.72</v>
      </c>
      <c r="S489">
        <v>8.9779999999999998</v>
      </c>
    </row>
    <row r="490" spans="1:19">
      <c r="A490">
        <v>2025</v>
      </c>
      <c r="B490" s="4" t="s">
        <v>11</v>
      </c>
      <c r="C490" t="s">
        <v>6</v>
      </c>
      <c r="D490">
        <v>4</v>
      </c>
      <c r="G490" s="3"/>
      <c r="N490">
        <v>47.59</v>
      </c>
      <c r="O490">
        <v>41.94</v>
      </c>
      <c r="P490">
        <v>28.74</v>
      </c>
      <c r="Q490">
        <v>50.84</v>
      </c>
      <c r="R490">
        <v>34.42</v>
      </c>
      <c r="S490">
        <v>9.391</v>
      </c>
    </row>
    <row r="491" spans="1:19">
      <c r="A491">
        <v>2025</v>
      </c>
      <c r="B491" s="4" t="s">
        <v>11</v>
      </c>
      <c r="C491" t="s">
        <v>6</v>
      </c>
      <c r="D491">
        <v>5</v>
      </c>
      <c r="G491" s="3"/>
      <c r="N491">
        <v>35.21</v>
      </c>
      <c r="O491">
        <v>41.68</v>
      </c>
      <c r="P491">
        <v>18.73</v>
      </c>
      <c r="Q491">
        <v>45.7</v>
      </c>
      <c r="R491">
        <v>24.19</v>
      </c>
      <c r="S491">
        <v>9.3170000000000002</v>
      </c>
    </row>
    <row r="492" spans="1:19">
      <c r="A492">
        <v>2025</v>
      </c>
      <c r="B492" s="4" t="s">
        <v>11</v>
      </c>
      <c r="C492" t="s">
        <v>6</v>
      </c>
      <c r="D492">
        <v>5</v>
      </c>
      <c r="G492" s="3"/>
      <c r="N492">
        <v>62.24</v>
      </c>
      <c r="O492">
        <v>21.47</v>
      </c>
      <c r="P492">
        <v>28.07</v>
      </c>
      <c r="Q492">
        <v>35.340000000000003</v>
      </c>
      <c r="R492">
        <v>52.59</v>
      </c>
      <c r="S492">
        <v>8.9830000000000005</v>
      </c>
    </row>
    <row r="493" spans="1:19">
      <c r="A493">
        <v>2025</v>
      </c>
      <c r="B493" s="4" t="s">
        <v>11</v>
      </c>
      <c r="C493" t="s">
        <v>6</v>
      </c>
      <c r="D493">
        <v>6</v>
      </c>
      <c r="G493" s="3"/>
      <c r="N493">
        <v>35.24</v>
      </c>
      <c r="O493">
        <v>43.33</v>
      </c>
      <c r="P493">
        <v>22.94</v>
      </c>
      <c r="Q493">
        <v>49.03</v>
      </c>
      <c r="R493">
        <v>27.9</v>
      </c>
      <c r="S493">
        <v>8.5039999999999996</v>
      </c>
    </row>
    <row r="494" spans="1:19">
      <c r="A494">
        <v>2025</v>
      </c>
      <c r="B494" s="4" t="s">
        <v>11</v>
      </c>
      <c r="C494" t="s">
        <v>6</v>
      </c>
      <c r="D494">
        <v>6</v>
      </c>
      <c r="G494" s="3"/>
      <c r="N494">
        <v>39.61</v>
      </c>
      <c r="O494">
        <v>40.950000000000003</v>
      </c>
      <c r="P494">
        <v>21.94</v>
      </c>
      <c r="Q494">
        <v>46.46</v>
      </c>
      <c r="R494">
        <v>28.18</v>
      </c>
      <c r="S494">
        <v>9.5860000000000003</v>
      </c>
    </row>
    <row r="495" spans="1:19">
      <c r="A495">
        <v>2025</v>
      </c>
      <c r="B495" s="4" t="s">
        <v>11</v>
      </c>
      <c r="C495" t="s">
        <v>6</v>
      </c>
      <c r="D495">
        <v>7</v>
      </c>
      <c r="G495" s="3"/>
      <c r="N495">
        <v>29.53</v>
      </c>
      <c r="O495">
        <v>42.86</v>
      </c>
      <c r="P495">
        <v>18.89</v>
      </c>
      <c r="Q495">
        <v>46.84</v>
      </c>
      <c r="R495">
        <v>23.79</v>
      </c>
      <c r="S495">
        <v>9</v>
      </c>
    </row>
    <row r="496" spans="1:19">
      <c r="A496">
        <v>2025</v>
      </c>
      <c r="B496" s="4" t="s">
        <v>11</v>
      </c>
      <c r="C496" t="s">
        <v>6</v>
      </c>
      <c r="D496">
        <v>7</v>
      </c>
      <c r="G496" s="3"/>
      <c r="N496">
        <v>45.49</v>
      </c>
      <c r="O496">
        <v>42.04</v>
      </c>
      <c r="P496">
        <v>27.22</v>
      </c>
      <c r="Q496">
        <v>50.09</v>
      </c>
      <c r="R496">
        <v>32.93</v>
      </c>
      <c r="S496">
        <v>8.5120000000000005</v>
      </c>
    </row>
    <row r="497" spans="1:19">
      <c r="A497">
        <v>2025</v>
      </c>
      <c r="B497" s="4" t="s">
        <v>11</v>
      </c>
      <c r="C497" t="s">
        <v>6</v>
      </c>
      <c r="D497">
        <v>8</v>
      </c>
      <c r="G497" s="3"/>
      <c r="N497">
        <v>38.659999999999997</v>
      </c>
      <c r="O497">
        <v>43.13</v>
      </c>
      <c r="P497">
        <v>23.36</v>
      </c>
      <c r="Q497">
        <v>49.05</v>
      </c>
      <c r="R497">
        <v>28.44</v>
      </c>
      <c r="S497">
        <v>11.086</v>
      </c>
    </row>
    <row r="498" spans="1:19">
      <c r="A498">
        <v>2025</v>
      </c>
      <c r="B498" s="4" t="s">
        <v>11</v>
      </c>
      <c r="C498" t="s">
        <v>6</v>
      </c>
      <c r="D498">
        <v>8</v>
      </c>
      <c r="G498" s="3"/>
      <c r="N498">
        <v>37.96</v>
      </c>
      <c r="O498">
        <v>40.51</v>
      </c>
      <c r="P498">
        <v>20.72</v>
      </c>
      <c r="Q498">
        <v>45.5</v>
      </c>
      <c r="R498">
        <v>27.09</v>
      </c>
      <c r="S498">
        <v>9.9939999999999998</v>
      </c>
    </row>
    <row r="499" spans="1:19">
      <c r="A499">
        <v>2025</v>
      </c>
      <c r="B499" s="4" t="s">
        <v>11</v>
      </c>
      <c r="C499" t="s">
        <v>6</v>
      </c>
      <c r="D499">
        <v>9</v>
      </c>
      <c r="G499" s="3"/>
      <c r="N499">
        <v>38.200000000000003</v>
      </c>
      <c r="O499">
        <v>40.770000000000003</v>
      </c>
      <c r="P499">
        <v>18.37</v>
      </c>
      <c r="Q499">
        <v>44.72</v>
      </c>
      <c r="R499">
        <v>24.25</v>
      </c>
      <c r="S499">
        <v>8.7870000000000008</v>
      </c>
    </row>
    <row r="500" spans="1:19">
      <c r="A500">
        <v>2025</v>
      </c>
      <c r="B500" s="4" t="s">
        <v>11</v>
      </c>
      <c r="C500" t="s">
        <v>6</v>
      </c>
      <c r="D500">
        <v>9</v>
      </c>
      <c r="G500" s="3"/>
      <c r="N500">
        <v>46.62</v>
      </c>
      <c r="O500">
        <v>42.48</v>
      </c>
      <c r="P500">
        <v>27.61</v>
      </c>
      <c r="Q500">
        <v>50.66</v>
      </c>
      <c r="R500">
        <v>33.020000000000003</v>
      </c>
      <c r="S500">
        <v>8.3490000000000002</v>
      </c>
    </row>
    <row r="501" spans="1:19">
      <c r="A501">
        <v>2025</v>
      </c>
      <c r="B501" s="4" t="s">
        <v>11</v>
      </c>
      <c r="C501" t="s">
        <v>6</v>
      </c>
      <c r="D501">
        <v>10</v>
      </c>
      <c r="G501" s="3"/>
      <c r="N501">
        <v>32.4</v>
      </c>
      <c r="O501">
        <v>41.79</v>
      </c>
      <c r="P501">
        <v>18.239999999999998</v>
      </c>
      <c r="Q501">
        <v>45.6</v>
      </c>
      <c r="R501">
        <v>23.58</v>
      </c>
      <c r="S501">
        <v>7.5759999999999996</v>
      </c>
    </row>
    <row r="502" spans="1:19">
      <c r="A502">
        <v>2025</v>
      </c>
      <c r="B502" s="4" t="s">
        <v>11</v>
      </c>
      <c r="C502" t="s">
        <v>6</v>
      </c>
      <c r="D502">
        <v>10</v>
      </c>
      <c r="G502" s="3"/>
      <c r="N502">
        <v>44.09</v>
      </c>
      <c r="O502">
        <v>43.23</v>
      </c>
      <c r="P502">
        <v>27.2</v>
      </c>
      <c r="Q502">
        <v>51.07</v>
      </c>
      <c r="R502">
        <v>32.18</v>
      </c>
      <c r="S502">
        <v>7.9459999999999997</v>
      </c>
    </row>
    <row r="503" spans="1:19">
      <c r="A503">
        <v>2025</v>
      </c>
      <c r="B503" s="4" t="s">
        <v>11</v>
      </c>
      <c r="C503" t="s">
        <v>6</v>
      </c>
      <c r="D503">
        <v>11</v>
      </c>
      <c r="G503" s="3"/>
      <c r="N503">
        <v>33.700000000000003</v>
      </c>
      <c r="O503">
        <v>44.68</v>
      </c>
      <c r="P503">
        <v>22.61</v>
      </c>
      <c r="Q503">
        <v>50.08</v>
      </c>
      <c r="R503">
        <v>26.84</v>
      </c>
      <c r="S503">
        <v>9.298</v>
      </c>
    </row>
    <row r="504" spans="1:19">
      <c r="A504">
        <v>2025</v>
      </c>
      <c r="B504" s="4" t="s">
        <v>11</v>
      </c>
      <c r="C504" t="s">
        <v>6</v>
      </c>
      <c r="D504">
        <v>11</v>
      </c>
      <c r="G504" s="3"/>
      <c r="N504">
        <v>37.85</v>
      </c>
      <c r="O504">
        <v>42.12</v>
      </c>
      <c r="P504">
        <v>21.33</v>
      </c>
      <c r="Q504">
        <v>47.21</v>
      </c>
      <c r="R504">
        <v>26.86</v>
      </c>
      <c r="S504">
        <v>8.8550000000000004</v>
      </c>
    </row>
    <row r="505" spans="1:19">
      <c r="A505">
        <v>2025</v>
      </c>
      <c r="B505" s="4" t="s">
        <v>11</v>
      </c>
      <c r="C505" t="s">
        <v>6</v>
      </c>
      <c r="D505">
        <v>12</v>
      </c>
      <c r="G505" s="3"/>
      <c r="N505">
        <v>36.69</v>
      </c>
      <c r="O505">
        <v>39.83</v>
      </c>
      <c r="P505">
        <v>21.15</v>
      </c>
      <c r="Q505">
        <v>45.1</v>
      </c>
      <c r="R505">
        <v>27.97</v>
      </c>
      <c r="S505">
        <v>9.8439999999999994</v>
      </c>
    </row>
    <row r="506" spans="1:19">
      <c r="A506">
        <v>2025</v>
      </c>
      <c r="B506" s="4" t="s">
        <v>11</v>
      </c>
      <c r="C506" t="s">
        <v>6</v>
      </c>
      <c r="D506">
        <v>12</v>
      </c>
      <c r="G506" s="3"/>
      <c r="N506">
        <v>43.07</v>
      </c>
      <c r="O506">
        <v>39.54</v>
      </c>
      <c r="P506">
        <v>23.38</v>
      </c>
      <c r="Q506">
        <v>45.93</v>
      </c>
      <c r="R506">
        <v>30.59</v>
      </c>
      <c r="S506">
        <v>10.351000000000001</v>
      </c>
    </row>
    <row r="507" spans="1:19">
      <c r="A507">
        <v>2025</v>
      </c>
      <c r="B507" s="4" t="s">
        <v>11</v>
      </c>
      <c r="C507" t="s">
        <v>6</v>
      </c>
      <c r="D507">
        <v>13</v>
      </c>
      <c r="G507" s="3"/>
      <c r="N507">
        <v>35</v>
      </c>
      <c r="O507">
        <v>42.7</v>
      </c>
      <c r="P507">
        <v>20.53</v>
      </c>
      <c r="Q507">
        <v>47.38</v>
      </c>
      <c r="R507">
        <v>25.67</v>
      </c>
      <c r="S507">
        <v>7.97</v>
      </c>
    </row>
    <row r="508" spans="1:19">
      <c r="A508">
        <v>2025</v>
      </c>
      <c r="B508" s="4" t="s">
        <v>11</v>
      </c>
      <c r="C508" t="s">
        <v>6</v>
      </c>
      <c r="D508">
        <v>13</v>
      </c>
      <c r="G508" s="3"/>
      <c r="N508">
        <v>40.42</v>
      </c>
      <c r="O508">
        <v>42.61</v>
      </c>
      <c r="P508">
        <v>23.59</v>
      </c>
      <c r="Q508">
        <v>48.7</v>
      </c>
      <c r="R508">
        <v>28.97</v>
      </c>
      <c r="S508">
        <v>8.0920000000000005</v>
      </c>
    </row>
    <row r="509" spans="1:19">
      <c r="A509">
        <v>2025</v>
      </c>
      <c r="B509" s="4" t="s">
        <v>11</v>
      </c>
      <c r="C509" t="s">
        <v>6</v>
      </c>
      <c r="D509">
        <v>14</v>
      </c>
      <c r="G509" s="3"/>
      <c r="N509">
        <v>36.130000000000003</v>
      </c>
      <c r="O509">
        <v>47.47</v>
      </c>
      <c r="P509">
        <v>22</v>
      </c>
      <c r="Q509">
        <v>52.32</v>
      </c>
      <c r="R509">
        <v>24.87</v>
      </c>
      <c r="S509">
        <v>9.4109999999999996</v>
      </c>
    </row>
    <row r="510" spans="1:19">
      <c r="A510">
        <v>2025</v>
      </c>
      <c r="B510" s="4" t="s">
        <v>11</v>
      </c>
      <c r="C510" t="s">
        <v>6</v>
      </c>
      <c r="D510">
        <v>14</v>
      </c>
      <c r="G510" s="3"/>
      <c r="N510">
        <v>55.92</v>
      </c>
      <c r="O510">
        <v>32.049999999999997</v>
      </c>
      <c r="P510">
        <v>25.58</v>
      </c>
      <c r="Q510">
        <v>41</v>
      </c>
      <c r="R510">
        <v>38.590000000000003</v>
      </c>
      <c r="S510">
        <v>8.67</v>
      </c>
    </row>
    <row r="511" spans="1:19">
      <c r="A511">
        <v>2025</v>
      </c>
      <c r="B511" s="4" t="s">
        <v>11</v>
      </c>
      <c r="C511" t="s">
        <v>6</v>
      </c>
      <c r="D511">
        <v>15</v>
      </c>
      <c r="G511" s="3"/>
      <c r="N511">
        <v>35.04</v>
      </c>
      <c r="O511">
        <v>39.5</v>
      </c>
      <c r="P511">
        <v>18.5</v>
      </c>
      <c r="Q511">
        <v>43.62</v>
      </c>
      <c r="R511">
        <v>25.1</v>
      </c>
      <c r="S511">
        <v>9.7379999999999995</v>
      </c>
    </row>
    <row r="512" spans="1:19">
      <c r="A512">
        <v>2025</v>
      </c>
      <c r="B512" s="4" t="s">
        <v>11</v>
      </c>
      <c r="C512" t="s">
        <v>6</v>
      </c>
      <c r="D512">
        <v>15</v>
      </c>
      <c r="G512" s="3"/>
      <c r="N512">
        <v>47.52</v>
      </c>
      <c r="O512">
        <v>41.25</v>
      </c>
      <c r="P512">
        <v>24.79</v>
      </c>
      <c r="Q512">
        <v>48.13</v>
      </c>
      <c r="R512">
        <v>31</v>
      </c>
      <c r="S512">
        <v>9.7799999999999994</v>
      </c>
    </row>
    <row r="513" spans="1:19">
      <c r="A513">
        <v>2025</v>
      </c>
      <c r="B513" s="4" t="s">
        <v>11</v>
      </c>
      <c r="C513" t="s">
        <v>10</v>
      </c>
      <c r="D513">
        <v>1</v>
      </c>
      <c r="G513" s="3"/>
      <c r="N513">
        <v>36.72</v>
      </c>
      <c r="O513">
        <v>40.119999999999997</v>
      </c>
      <c r="P513">
        <v>16.45</v>
      </c>
      <c r="Q513">
        <v>43.36</v>
      </c>
      <c r="R513">
        <v>22.29</v>
      </c>
      <c r="S513">
        <v>7.3849999999999998</v>
      </c>
    </row>
    <row r="514" spans="1:19">
      <c r="A514">
        <v>2025</v>
      </c>
      <c r="B514" s="4" t="s">
        <v>11</v>
      </c>
      <c r="C514" t="s">
        <v>10</v>
      </c>
      <c r="D514">
        <v>1</v>
      </c>
      <c r="G514" s="3"/>
      <c r="N514">
        <v>46.83</v>
      </c>
      <c r="O514">
        <v>42.92</v>
      </c>
      <c r="P514">
        <v>27.14</v>
      </c>
      <c r="Q514">
        <v>50.78</v>
      </c>
      <c r="R514">
        <v>32.299999999999997</v>
      </c>
      <c r="S514">
        <v>6.8849999999999998</v>
      </c>
    </row>
    <row r="515" spans="1:19">
      <c r="A515">
        <v>2025</v>
      </c>
      <c r="B515" s="4" t="s">
        <v>11</v>
      </c>
      <c r="C515" t="s">
        <v>10</v>
      </c>
      <c r="D515">
        <v>2</v>
      </c>
      <c r="G515" s="3"/>
      <c r="N515">
        <v>29.71</v>
      </c>
      <c r="O515">
        <v>38.950000000000003</v>
      </c>
      <c r="P515">
        <v>16.11</v>
      </c>
      <c r="Q515">
        <v>42.15</v>
      </c>
      <c r="R515">
        <v>22.47</v>
      </c>
      <c r="S515">
        <v>8.7469999999999999</v>
      </c>
    </row>
    <row r="516" spans="1:19">
      <c r="A516">
        <v>2025</v>
      </c>
      <c r="B516" s="4" t="s">
        <v>11</v>
      </c>
      <c r="C516" t="s">
        <v>10</v>
      </c>
      <c r="D516">
        <v>2</v>
      </c>
      <c r="G516" s="3"/>
      <c r="N516">
        <v>52.2</v>
      </c>
      <c r="O516">
        <v>38.79</v>
      </c>
      <c r="P516">
        <v>27.3</v>
      </c>
      <c r="Q516">
        <v>47.43</v>
      </c>
      <c r="R516">
        <v>35.14</v>
      </c>
      <c r="S516">
        <v>8.5440000000000005</v>
      </c>
    </row>
    <row r="517" spans="1:19">
      <c r="A517">
        <v>2025</v>
      </c>
      <c r="B517" s="4" t="s">
        <v>11</v>
      </c>
      <c r="C517" t="s">
        <v>10</v>
      </c>
      <c r="D517">
        <v>3</v>
      </c>
      <c r="G517" s="3"/>
      <c r="N517">
        <v>37.33</v>
      </c>
      <c r="O517">
        <v>41.24</v>
      </c>
      <c r="P517">
        <v>21.4</v>
      </c>
      <c r="Q517">
        <v>46.46</v>
      </c>
      <c r="R517">
        <v>27.42</v>
      </c>
      <c r="S517">
        <v>9.6929999999999996</v>
      </c>
    </row>
    <row r="518" spans="1:19">
      <c r="A518">
        <v>2025</v>
      </c>
      <c r="B518" s="4" t="s">
        <v>11</v>
      </c>
      <c r="C518" t="s">
        <v>10</v>
      </c>
      <c r="D518">
        <v>3</v>
      </c>
      <c r="G518" s="3"/>
      <c r="N518">
        <v>56.56</v>
      </c>
      <c r="O518">
        <v>34.299999999999997</v>
      </c>
      <c r="P518">
        <v>32.28</v>
      </c>
      <c r="Q518">
        <v>47.1</v>
      </c>
      <c r="R518">
        <v>43.26</v>
      </c>
      <c r="S518">
        <v>12.996</v>
      </c>
    </row>
    <row r="519" spans="1:19">
      <c r="A519">
        <v>2025</v>
      </c>
      <c r="B519" s="4" t="s">
        <v>11</v>
      </c>
      <c r="C519" t="s">
        <v>10</v>
      </c>
      <c r="D519">
        <v>4</v>
      </c>
      <c r="G519" s="3"/>
      <c r="N519">
        <v>38.81</v>
      </c>
      <c r="O519">
        <v>43.36</v>
      </c>
      <c r="P519">
        <v>21.09</v>
      </c>
      <c r="Q519">
        <v>48.22</v>
      </c>
      <c r="R519">
        <v>25.94</v>
      </c>
      <c r="S519">
        <v>9.44</v>
      </c>
    </row>
    <row r="520" spans="1:19">
      <c r="A520">
        <v>2025</v>
      </c>
      <c r="B520" s="4" t="s">
        <v>11</v>
      </c>
      <c r="C520" t="s">
        <v>10</v>
      </c>
      <c r="D520">
        <v>4</v>
      </c>
      <c r="G520" s="3"/>
      <c r="N520">
        <v>39.4</v>
      </c>
      <c r="O520">
        <v>44.45</v>
      </c>
      <c r="P520">
        <v>24.87</v>
      </c>
      <c r="Q520">
        <v>50.94</v>
      </c>
      <c r="R520">
        <v>29.23</v>
      </c>
      <c r="S520">
        <v>9.2249999999999996</v>
      </c>
    </row>
    <row r="521" spans="1:19">
      <c r="A521">
        <v>2025</v>
      </c>
      <c r="B521" s="4" t="s">
        <v>11</v>
      </c>
      <c r="C521" t="s">
        <v>10</v>
      </c>
      <c r="D521">
        <v>5</v>
      </c>
      <c r="G521" s="3"/>
      <c r="N521">
        <v>38.65</v>
      </c>
      <c r="O521">
        <v>43.82</v>
      </c>
      <c r="P521">
        <v>21.72</v>
      </c>
      <c r="Q521">
        <v>48.91</v>
      </c>
      <c r="R521">
        <v>26.37</v>
      </c>
      <c r="S521">
        <v>9.8979999999999997</v>
      </c>
    </row>
    <row r="522" spans="1:19">
      <c r="A522">
        <v>2025</v>
      </c>
      <c r="B522" s="4" t="s">
        <v>11</v>
      </c>
      <c r="C522" t="s">
        <v>10</v>
      </c>
      <c r="D522">
        <v>5</v>
      </c>
      <c r="G522" s="3"/>
      <c r="N522">
        <v>43.51</v>
      </c>
      <c r="O522">
        <v>42.31</v>
      </c>
      <c r="P522">
        <v>21.06</v>
      </c>
      <c r="Q522">
        <v>47.27</v>
      </c>
      <c r="R522">
        <v>26.46</v>
      </c>
      <c r="S522">
        <v>9.34</v>
      </c>
    </row>
    <row r="523" spans="1:19">
      <c r="A523">
        <v>2025</v>
      </c>
      <c r="B523" s="4" t="s">
        <v>11</v>
      </c>
      <c r="C523" t="s">
        <v>10</v>
      </c>
      <c r="D523">
        <v>6</v>
      </c>
      <c r="G523" s="3"/>
      <c r="N523">
        <v>37.9</v>
      </c>
      <c r="O523">
        <v>47.03</v>
      </c>
      <c r="P523">
        <v>23.04</v>
      </c>
      <c r="Q523">
        <v>52.37</v>
      </c>
      <c r="R523">
        <v>26.09</v>
      </c>
      <c r="S523">
        <v>8.9890000000000008</v>
      </c>
    </row>
    <row r="524" spans="1:19">
      <c r="A524">
        <v>2025</v>
      </c>
      <c r="B524" s="4" t="s">
        <v>11</v>
      </c>
      <c r="C524" t="s">
        <v>10</v>
      </c>
      <c r="D524">
        <v>6</v>
      </c>
      <c r="G524" s="3"/>
      <c r="N524">
        <v>47.28</v>
      </c>
      <c r="O524">
        <v>44.44</v>
      </c>
      <c r="P524">
        <v>27.2</v>
      </c>
      <c r="Q524">
        <v>52.11</v>
      </c>
      <c r="R524">
        <v>31.47</v>
      </c>
      <c r="S524">
        <v>9.7539999999999996</v>
      </c>
    </row>
    <row r="525" spans="1:19">
      <c r="A525">
        <v>2025</v>
      </c>
      <c r="B525" s="4" t="s">
        <v>11</v>
      </c>
      <c r="C525" t="s">
        <v>10</v>
      </c>
      <c r="D525">
        <v>7</v>
      </c>
      <c r="G525" s="3"/>
      <c r="N525">
        <v>39.79</v>
      </c>
      <c r="O525">
        <v>43.69</v>
      </c>
      <c r="P525">
        <v>25.24</v>
      </c>
      <c r="Q525">
        <v>50.46</v>
      </c>
      <c r="R525">
        <v>30.01</v>
      </c>
      <c r="S525">
        <v>6.9859999999999998</v>
      </c>
    </row>
    <row r="526" spans="1:19">
      <c r="A526">
        <v>2025</v>
      </c>
      <c r="B526" s="4" t="s">
        <v>11</v>
      </c>
      <c r="C526" t="s">
        <v>10</v>
      </c>
      <c r="D526">
        <v>7</v>
      </c>
      <c r="G526" s="3"/>
      <c r="N526">
        <v>50.74</v>
      </c>
      <c r="O526">
        <v>39.22</v>
      </c>
      <c r="P526">
        <v>28.09</v>
      </c>
      <c r="Q526">
        <v>48.24</v>
      </c>
      <c r="R526">
        <v>35.61</v>
      </c>
      <c r="S526">
        <v>8.4540000000000006</v>
      </c>
    </row>
    <row r="527" spans="1:19">
      <c r="A527">
        <v>2025</v>
      </c>
      <c r="B527" s="4" t="s">
        <v>11</v>
      </c>
      <c r="C527" t="s">
        <v>10</v>
      </c>
      <c r="D527">
        <v>8</v>
      </c>
      <c r="G527" s="3"/>
      <c r="N527">
        <v>42.43</v>
      </c>
      <c r="O527">
        <v>43.74</v>
      </c>
      <c r="P527">
        <v>25.07</v>
      </c>
      <c r="Q527">
        <v>50.42</v>
      </c>
      <c r="R527">
        <v>29.82</v>
      </c>
      <c r="S527">
        <v>8.4719999999999995</v>
      </c>
    </row>
    <row r="528" spans="1:19">
      <c r="A528">
        <v>2025</v>
      </c>
      <c r="B528" s="4" t="s">
        <v>11</v>
      </c>
      <c r="C528" t="s">
        <v>10</v>
      </c>
      <c r="D528">
        <v>8</v>
      </c>
      <c r="G528" s="3"/>
      <c r="N528">
        <v>53.76</v>
      </c>
      <c r="O528">
        <v>38.33</v>
      </c>
      <c r="P528">
        <v>26.91</v>
      </c>
      <c r="Q528">
        <v>46.84</v>
      </c>
      <c r="R528">
        <v>35.07</v>
      </c>
      <c r="S528">
        <v>7.7140000000000004</v>
      </c>
    </row>
    <row r="529" spans="1:19">
      <c r="A529">
        <v>2025</v>
      </c>
      <c r="B529" s="4" t="s">
        <v>11</v>
      </c>
      <c r="C529" t="s">
        <v>10</v>
      </c>
      <c r="D529">
        <v>9</v>
      </c>
      <c r="G529" s="3"/>
      <c r="N529">
        <v>35.43</v>
      </c>
      <c r="O529">
        <v>45.69</v>
      </c>
      <c r="P529">
        <v>23.74</v>
      </c>
      <c r="Q529">
        <v>51.5</v>
      </c>
      <c r="R529">
        <v>27.46</v>
      </c>
      <c r="S529">
        <v>7.98</v>
      </c>
    </row>
    <row r="530" spans="1:19">
      <c r="A530">
        <v>2025</v>
      </c>
      <c r="B530" s="4" t="s">
        <v>11</v>
      </c>
      <c r="C530" t="s">
        <v>10</v>
      </c>
      <c r="D530">
        <v>9</v>
      </c>
      <c r="G530" s="3"/>
      <c r="N530">
        <v>50.74</v>
      </c>
      <c r="O530">
        <v>41.83</v>
      </c>
      <c r="P530">
        <v>28.43</v>
      </c>
      <c r="Q530">
        <v>50.58</v>
      </c>
      <c r="R530">
        <v>34.200000000000003</v>
      </c>
      <c r="S530">
        <v>9.3390000000000004</v>
      </c>
    </row>
    <row r="531" spans="1:19">
      <c r="A531">
        <v>2025</v>
      </c>
      <c r="B531" s="4" t="s">
        <v>11</v>
      </c>
      <c r="C531" t="s">
        <v>10</v>
      </c>
      <c r="D531">
        <v>10</v>
      </c>
      <c r="G531" s="3"/>
      <c r="N531">
        <v>41.67</v>
      </c>
      <c r="O531">
        <v>42.8</v>
      </c>
      <c r="P531">
        <v>23.53</v>
      </c>
      <c r="Q531">
        <v>48.84</v>
      </c>
      <c r="R531">
        <v>28.8</v>
      </c>
      <c r="S531">
        <v>9.407</v>
      </c>
    </row>
    <row r="532" spans="1:19">
      <c r="A532">
        <v>2025</v>
      </c>
      <c r="B532" s="4" t="s">
        <v>11</v>
      </c>
      <c r="C532" t="s">
        <v>10</v>
      </c>
      <c r="D532">
        <v>10</v>
      </c>
      <c r="G532" s="3"/>
      <c r="N532">
        <v>42.91</v>
      </c>
      <c r="O532">
        <v>43.45</v>
      </c>
      <c r="P532">
        <v>25.07</v>
      </c>
      <c r="Q532">
        <v>50.16</v>
      </c>
      <c r="R532">
        <v>29.98</v>
      </c>
      <c r="S532">
        <v>9.9740000000000002</v>
      </c>
    </row>
    <row r="533" spans="1:19">
      <c r="A533">
        <v>2025</v>
      </c>
      <c r="B533" s="4" t="s">
        <v>11</v>
      </c>
      <c r="C533" t="s">
        <v>10</v>
      </c>
      <c r="D533">
        <v>11</v>
      </c>
      <c r="G533" s="3"/>
      <c r="N533">
        <v>30.02</v>
      </c>
      <c r="O533">
        <v>41.22</v>
      </c>
      <c r="P533">
        <v>16.79</v>
      </c>
      <c r="Q533">
        <v>44.51</v>
      </c>
      <c r="R533">
        <v>22.16</v>
      </c>
      <c r="S533">
        <v>8.8230000000000004</v>
      </c>
    </row>
    <row r="534" spans="1:19">
      <c r="A534">
        <v>2025</v>
      </c>
      <c r="B534" s="4" t="s">
        <v>11</v>
      </c>
      <c r="C534" t="s">
        <v>10</v>
      </c>
      <c r="D534">
        <v>11</v>
      </c>
      <c r="G534" s="3"/>
      <c r="N534">
        <v>52.03</v>
      </c>
      <c r="O534">
        <v>39.11</v>
      </c>
      <c r="P534">
        <v>26.86</v>
      </c>
      <c r="Q534">
        <v>47.44</v>
      </c>
      <c r="R534">
        <v>34.479999999999997</v>
      </c>
      <c r="S534">
        <v>8.68</v>
      </c>
    </row>
    <row r="535" spans="1:19">
      <c r="A535">
        <v>2025</v>
      </c>
      <c r="B535" s="4" t="s">
        <v>11</v>
      </c>
      <c r="C535" t="s">
        <v>10</v>
      </c>
      <c r="D535">
        <v>12</v>
      </c>
      <c r="G535" s="3"/>
      <c r="N535">
        <v>42.56</v>
      </c>
      <c r="O535">
        <v>40.520000000000003</v>
      </c>
      <c r="P535">
        <v>22.65</v>
      </c>
      <c r="Q535">
        <v>46.42</v>
      </c>
      <c r="R535">
        <v>29.2</v>
      </c>
      <c r="S535">
        <v>9.3219999999999992</v>
      </c>
    </row>
    <row r="536" spans="1:19">
      <c r="A536">
        <v>2025</v>
      </c>
      <c r="B536" s="4" t="s">
        <v>11</v>
      </c>
      <c r="C536" t="s">
        <v>10</v>
      </c>
      <c r="D536">
        <v>12</v>
      </c>
      <c r="G536" s="3"/>
      <c r="N536">
        <v>50.25</v>
      </c>
      <c r="O536">
        <v>37.56</v>
      </c>
      <c r="P536">
        <v>27.74</v>
      </c>
      <c r="Q536">
        <v>46.69</v>
      </c>
      <c r="R536">
        <v>36.450000000000003</v>
      </c>
      <c r="S536">
        <v>9.15</v>
      </c>
    </row>
    <row r="537" spans="1:19">
      <c r="A537">
        <v>2025</v>
      </c>
      <c r="B537" s="4" t="s">
        <v>11</v>
      </c>
      <c r="C537" t="s">
        <v>10</v>
      </c>
      <c r="D537">
        <v>13</v>
      </c>
      <c r="G537" s="3"/>
      <c r="N537">
        <v>35.19</v>
      </c>
      <c r="O537">
        <v>41.14</v>
      </c>
      <c r="P537">
        <v>18.079999999999998</v>
      </c>
      <c r="Q537">
        <v>44.93</v>
      </c>
      <c r="R537">
        <v>23.72</v>
      </c>
      <c r="S537">
        <v>9.4960000000000004</v>
      </c>
    </row>
    <row r="538" spans="1:19">
      <c r="A538">
        <v>2025</v>
      </c>
      <c r="B538" s="4" t="s">
        <v>11</v>
      </c>
      <c r="C538" t="s">
        <v>10</v>
      </c>
      <c r="D538">
        <v>13</v>
      </c>
      <c r="G538" s="3"/>
      <c r="N538">
        <v>45.18</v>
      </c>
      <c r="O538">
        <v>43.03</v>
      </c>
      <c r="P538">
        <v>26.35</v>
      </c>
      <c r="Q538">
        <v>50.46</v>
      </c>
      <c r="R538">
        <v>31.48</v>
      </c>
      <c r="S538">
        <v>9.4540000000000006</v>
      </c>
    </row>
    <row r="539" spans="1:19">
      <c r="A539">
        <v>2025</v>
      </c>
      <c r="B539" s="4" t="s">
        <v>11</v>
      </c>
      <c r="C539" t="s">
        <v>10</v>
      </c>
      <c r="D539">
        <v>14</v>
      </c>
      <c r="G539" s="3"/>
      <c r="N539">
        <v>42.89</v>
      </c>
      <c r="O539">
        <v>39.18</v>
      </c>
      <c r="P539">
        <v>21.24</v>
      </c>
      <c r="Q539">
        <v>44.57</v>
      </c>
      <c r="R539">
        <v>28.47</v>
      </c>
      <c r="S539">
        <v>10.227</v>
      </c>
    </row>
    <row r="540" spans="1:19">
      <c r="A540">
        <v>2025</v>
      </c>
      <c r="B540" s="4" t="s">
        <v>11</v>
      </c>
      <c r="C540" t="s">
        <v>10</v>
      </c>
      <c r="D540">
        <v>14</v>
      </c>
      <c r="G540" s="3"/>
      <c r="N540">
        <v>62.74</v>
      </c>
      <c r="O540">
        <v>20.95</v>
      </c>
      <c r="P540">
        <v>27.63</v>
      </c>
      <c r="Q540">
        <v>34.67</v>
      </c>
      <c r="R540">
        <v>52.83</v>
      </c>
      <c r="S540">
        <v>11.394</v>
      </c>
    </row>
    <row r="541" spans="1:19">
      <c r="A541">
        <v>2025</v>
      </c>
      <c r="B541" s="4" t="s">
        <v>11</v>
      </c>
      <c r="C541" t="s">
        <v>10</v>
      </c>
      <c r="D541">
        <v>15</v>
      </c>
      <c r="G541" s="3"/>
      <c r="N541">
        <v>37.35</v>
      </c>
      <c r="O541">
        <v>44.52</v>
      </c>
      <c r="P541">
        <v>22.74</v>
      </c>
      <c r="Q541">
        <v>49.99</v>
      </c>
      <c r="R541">
        <v>27.06</v>
      </c>
      <c r="S541">
        <v>7.8470000000000004</v>
      </c>
    </row>
    <row r="542" spans="1:19">
      <c r="A542">
        <v>2025</v>
      </c>
      <c r="B542" s="4" t="s">
        <v>11</v>
      </c>
      <c r="C542" t="s">
        <v>10</v>
      </c>
      <c r="D542">
        <v>15</v>
      </c>
      <c r="G542" s="3"/>
      <c r="N542">
        <v>47.11</v>
      </c>
      <c r="O542">
        <v>42.77</v>
      </c>
      <c r="P542">
        <v>29.48</v>
      </c>
      <c r="Q542">
        <v>51.95</v>
      </c>
      <c r="R542">
        <v>34.57</v>
      </c>
      <c r="S542">
        <v>8.2170000000000005</v>
      </c>
    </row>
    <row r="543" spans="1:19">
      <c r="A543">
        <v>2025</v>
      </c>
      <c r="B543" s="4" t="s">
        <v>11</v>
      </c>
      <c r="C543" t="s">
        <v>9</v>
      </c>
      <c r="D543">
        <v>1</v>
      </c>
      <c r="G543" s="3"/>
      <c r="N543">
        <v>37.840000000000003</v>
      </c>
      <c r="O543">
        <v>45.44</v>
      </c>
      <c r="P543">
        <v>23.81</v>
      </c>
      <c r="Q543">
        <v>51.3</v>
      </c>
      <c r="R543">
        <v>27.66</v>
      </c>
      <c r="S543">
        <v>8.2859999999999996</v>
      </c>
    </row>
    <row r="544" spans="1:19">
      <c r="A544">
        <v>2025</v>
      </c>
      <c r="B544" s="4" t="s">
        <v>11</v>
      </c>
      <c r="C544" t="s">
        <v>9</v>
      </c>
      <c r="D544">
        <v>1</v>
      </c>
      <c r="G544" s="3"/>
      <c r="N544">
        <v>42.07</v>
      </c>
      <c r="O544">
        <v>46.69</v>
      </c>
      <c r="P544">
        <v>29.52</v>
      </c>
      <c r="Q544">
        <v>55.24</v>
      </c>
      <c r="R544">
        <v>32.31</v>
      </c>
      <c r="S544">
        <v>8.4410000000000007</v>
      </c>
    </row>
    <row r="545" spans="1:19">
      <c r="A545">
        <v>2025</v>
      </c>
      <c r="B545" s="4" t="s">
        <v>11</v>
      </c>
      <c r="C545" t="s">
        <v>9</v>
      </c>
      <c r="D545">
        <v>2</v>
      </c>
      <c r="G545" s="3"/>
      <c r="N545">
        <v>36.630000000000003</v>
      </c>
      <c r="O545">
        <v>43.09</v>
      </c>
      <c r="P545">
        <v>21.66</v>
      </c>
      <c r="Q545">
        <v>48.22</v>
      </c>
      <c r="R545">
        <v>26.68</v>
      </c>
      <c r="S545">
        <v>8.4220000000000006</v>
      </c>
    </row>
    <row r="546" spans="1:19">
      <c r="A546">
        <v>2025</v>
      </c>
      <c r="B546" s="4" t="s">
        <v>11</v>
      </c>
      <c r="C546" t="s">
        <v>9</v>
      </c>
      <c r="D546">
        <v>2</v>
      </c>
      <c r="G546" s="3"/>
      <c r="N546">
        <v>43.76</v>
      </c>
      <c r="O546">
        <v>42.18</v>
      </c>
      <c r="P546">
        <v>21.96</v>
      </c>
      <c r="Q546">
        <v>47.55</v>
      </c>
      <c r="R546">
        <v>27.51</v>
      </c>
      <c r="S546">
        <v>8.3219999999999992</v>
      </c>
    </row>
    <row r="547" spans="1:19">
      <c r="A547">
        <v>2025</v>
      </c>
      <c r="B547" s="4" t="s">
        <v>11</v>
      </c>
      <c r="C547" t="s">
        <v>9</v>
      </c>
      <c r="D547">
        <v>3</v>
      </c>
      <c r="G547" s="3"/>
      <c r="N547">
        <v>37.96</v>
      </c>
      <c r="O547">
        <v>40.83</v>
      </c>
      <c r="P547">
        <v>21.42</v>
      </c>
      <c r="Q547">
        <v>46.1</v>
      </c>
      <c r="R547">
        <v>27.68</v>
      </c>
      <c r="S547">
        <v>9.0069999999999997</v>
      </c>
    </row>
    <row r="548" spans="1:19">
      <c r="A548">
        <v>2025</v>
      </c>
      <c r="B548" s="4" t="s">
        <v>11</v>
      </c>
      <c r="C548" t="s">
        <v>9</v>
      </c>
      <c r="D548">
        <v>3</v>
      </c>
      <c r="G548" s="3"/>
      <c r="N548">
        <v>37.93</v>
      </c>
      <c r="O548">
        <v>46.26</v>
      </c>
      <c r="P548">
        <v>26.26</v>
      </c>
      <c r="Q548">
        <v>53.19</v>
      </c>
      <c r="R548">
        <v>29.59</v>
      </c>
      <c r="S548">
        <v>7.806</v>
      </c>
    </row>
    <row r="549" spans="1:19">
      <c r="A549">
        <v>2025</v>
      </c>
      <c r="B549" s="4" t="s">
        <v>11</v>
      </c>
      <c r="C549" t="s">
        <v>9</v>
      </c>
      <c r="D549">
        <v>4</v>
      </c>
      <c r="G549" s="3"/>
      <c r="N549">
        <v>29.76</v>
      </c>
      <c r="O549">
        <v>38.380000000000003</v>
      </c>
      <c r="P549">
        <v>14.09</v>
      </c>
      <c r="Q549">
        <v>40.89</v>
      </c>
      <c r="R549">
        <v>20.16</v>
      </c>
      <c r="S549">
        <v>8.8119999999999994</v>
      </c>
    </row>
    <row r="550" spans="1:19">
      <c r="A550">
        <v>2025</v>
      </c>
      <c r="B550" s="4" t="s">
        <v>11</v>
      </c>
      <c r="C550" t="s">
        <v>9</v>
      </c>
      <c r="D550">
        <v>4</v>
      </c>
      <c r="G550" s="3"/>
      <c r="N550">
        <v>51.99</v>
      </c>
      <c r="O550">
        <v>35.25</v>
      </c>
      <c r="P550">
        <v>26.8</v>
      </c>
      <c r="Q550">
        <v>44.28</v>
      </c>
      <c r="R550">
        <v>37.25</v>
      </c>
      <c r="S550">
        <v>8.1750000000000007</v>
      </c>
    </row>
    <row r="551" spans="1:19">
      <c r="A551">
        <v>2025</v>
      </c>
      <c r="B551" s="4" t="s">
        <v>11</v>
      </c>
      <c r="C551" t="s">
        <v>9</v>
      </c>
      <c r="D551">
        <v>5</v>
      </c>
      <c r="G551" s="3"/>
      <c r="N551">
        <v>34.08</v>
      </c>
      <c r="O551">
        <v>39.5</v>
      </c>
      <c r="P551">
        <v>18.61</v>
      </c>
      <c r="Q551">
        <v>43.67</v>
      </c>
      <c r="R551">
        <v>25.23</v>
      </c>
      <c r="S551">
        <v>8.7409999999999997</v>
      </c>
    </row>
    <row r="552" spans="1:19">
      <c r="A552">
        <v>2025</v>
      </c>
      <c r="B552" s="4" t="s">
        <v>11</v>
      </c>
      <c r="C552" t="s">
        <v>9</v>
      </c>
      <c r="D552">
        <v>5</v>
      </c>
      <c r="G552" s="3"/>
      <c r="N552">
        <v>44.55</v>
      </c>
      <c r="O552">
        <v>40.229999999999997</v>
      </c>
      <c r="P552">
        <v>24.88</v>
      </c>
      <c r="Q552">
        <v>47.3</v>
      </c>
      <c r="R552">
        <v>31.73</v>
      </c>
      <c r="S552">
        <v>8.7319999999999993</v>
      </c>
    </row>
    <row r="553" spans="1:19">
      <c r="A553">
        <v>2025</v>
      </c>
      <c r="B553" s="4" t="s">
        <v>11</v>
      </c>
      <c r="C553" t="s">
        <v>9</v>
      </c>
      <c r="D553">
        <v>6</v>
      </c>
      <c r="G553" s="3"/>
      <c r="N553">
        <v>41.08</v>
      </c>
      <c r="O553">
        <v>41.65</v>
      </c>
      <c r="P553">
        <v>24.59</v>
      </c>
      <c r="Q553">
        <v>48.37</v>
      </c>
      <c r="R553">
        <v>30.56</v>
      </c>
      <c r="S553">
        <v>8.6880000000000006</v>
      </c>
    </row>
    <row r="554" spans="1:19">
      <c r="A554">
        <v>2025</v>
      </c>
      <c r="B554" s="4" t="s">
        <v>11</v>
      </c>
      <c r="C554" t="s">
        <v>9</v>
      </c>
      <c r="D554">
        <v>6</v>
      </c>
      <c r="G554" s="3"/>
      <c r="N554">
        <v>53.1</v>
      </c>
      <c r="O554">
        <v>33.61</v>
      </c>
      <c r="P554">
        <v>27.89</v>
      </c>
      <c r="Q554">
        <v>43.68</v>
      </c>
      <c r="R554">
        <v>39.69</v>
      </c>
      <c r="S554">
        <v>8.9339999999999993</v>
      </c>
    </row>
    <row r="555" spans="1:19">
      <c r="A555">
        <v>2025</v>
      </c>
      <c r="B555" s="4" t="s">
        <v>11</v>
      </c>
      <c r="C555" t="s">
        <v>9</v>
      </c>
      <c r="D555">
        <v>7</v>
      </c>
      <c r="G555" s="3"/>
      <c r="N555">
        <v>32.06</v>
      </c>
      <c r="O555">
        <v>46.65</v>
      </c>
      <c r="P555">
        <v>21.74</v>
      </c>
      <c r="Q555">
        <v>51.46</v>
      </c>
      <c r="R555">
        <v>24.99</v>
      </c>
      <c r="S555">
        <v>8.7409999999999997</v>
      </c>
    </row>
    <row r="556" spans="1:19">
      <c r="A556">
        <v>2025</v>
      </c>
      <c r="B556" s="4" t="s">
        <v>11</v>
      </c>
      <c r="C556" t="s">
        <v>9</v>
      </c>
      <c r="D556">
        <v>7</v>
      </c>
      <c r="G556" s="3"/>
      <c r="N556">
        <v>60.55</v>
      </c>
      <c r="O556">
        <v>31.18</v>
      </c>
      <c r="P556">
        <v>28.69</v>
      </c>
      <c r="Q556">
        <v>42.37</v>
      </c>
      <c r="R556">
        <v>42.62</v>
      </c>
      <c r="S556">
        <v>9.343</v>
      </c>
    </row>
    <row r="557" spans="1:19">
      <c r="A557">
        <v>2025</v>
      </c>
      <c r="B557" s="4" t="s">
        <v>11</v>
      </c>
      <c r="C557" t="s">
        <v>9</v>
      </c>
      <c r="D557">
        <v>8</v>
      </c>
      <c r="G557" s="3"/>
      <c r="N557">
        <v>38.590000000000003</v>
      </c>
      <c r="O557">
        <v>46.02</v>
      </c>
      <c r="P557">
        <v>26.2</v>
      </c>
      <c r="Q557">
        <v>52.96</v>
      </c>
      <c r="R557">
        <v>29.66</v>
      </c>
      <c r="S557">
        <v>9.0299999999999994</v>
      </c>
    </row>
    <row r="558" spans="1:19">
      <c r="A558">
        <v>2025</v>
      </c>
      <c r="B558" s="4" t="s">
        <v>11</v>
      </c>
      <c r="C558" t="s">
        <v>9</v>
      </c>
      <c r="D558">
        <v>8</v>
      </c>
      <c r="G558" s="3"/>
      <c r="N558">
        <v>49.72</v>
      </c>
      <c r="O558">
        <v>40.909999999999997</v>
      </c>
      <c r="P558">
        <v>29.91</v>
      </c>
      <c r="Q558">
        <v>50.68</v>
      </c>
      <c r="R558">
        <v>36.17</v>
      </c>
      <c r="S558">
        <v>8.5050000000000008</v>
      </c>
    </row>
    <row r="559" spans="1:19">
      <c r="A559">
        <v>2025</v>
      </c>
      <c r="B559" s="4" t="s">
        <v>11</v>
      </c>
      <c r="C559" t="s">
        <v>9</v>
      </c>
      <c r="D559">
        <v>9</v>
      </c>
      <c r="G559" s="3"/>
      <c r="N559">
        <v>34.93</v>
      </c>
      <c r="O559">
        <v>43.3</v>
      </c>
      <c r="P559">
        <v>19.09</v>
      </c>
      <c r="Q559">
        <v>47.32</v>
      </c>
      <c r="R559">
        <v>23.79</v>
      </c>
      <c r="S559">
        <v>10.331</v>
      </c>
    </row>
    <row r="560" spans="1:19">
      <c r="A560">
        <v>2025</v>
      </c>
      <c r="B560" s="4" t="s">
        <v>11</v>
      </c>
      <c r="C560" t="s">
        <v>9</v>
      </c>
      <c r="D560">
        <v>9</v>
      </c>
      <c r="G560" s="3"/>
      <c r="N560">
        <v>51.73</v>
      </c>
      <c r="O560">
        <v>37.42</v>
      </c>
      <c r="P560">
        <v>25.22</v>
      </c>
      <c r="Q560">
        <v>45.13</v>
      </c>
      <c r="R560">
        <v>33.979999999999997</v>
      </c>
      <c r="S560">
        <v>8.3849999999999998</v>
      </c>
    </row>
    <row r="561" spans="1:19">
      <c r="A561">
        <v>2025</v>
      </c>
      <c r="B561" s="4" t="s">
        <v>11</v>
      </c>
      <c r="C561" t="s">
        <v>9</v>
      </c>
      <c r="D561">
        <v>10</v>
      </c>
      <c r="G561" s="3"/>
      <c r="N561">
        <v>36.67</v>
      </c>
      <c r="O561">
        <v>43.89</v>
      </c>
      <c r="P561">
        <v>22.05</v>
      </c>
      <c r="Q561">
        <v>49.12</v>
      </c>
      <c r="R561">
        <v>26.67</v>
      </c>
      <c r="S561">
        <v>8.0050000000000008</v>
      </c>
    </row>
    <row r="562" spans="1:19">
      <c r="A562">
        <v>2025</v>
      </c>
      <c r="B562" s="4" t="s">
        <v>11</v>
      </c>
      <c r="C562" t="s">
        <v>9</v>
      </c>
      <c r="D562">
        <v>10</v>
      </c>
      <c r="G562" s="3"/>
      <c r="N562">
        <v>44.47</v>
      </c>
      <c r="O562">
        <v>41.66</v>
      </c>
      <c r="P562">
        <v>25.91</v>
      </c>
      <c r="Q562">
        <v>49.06</v>
      </c>
      <c r="R562">
        <v>31.88</v>
      </c>
      <c r="S562">
        <v>8.67</v>
      </c>
    </row>
    <row r="563" spans="1:19">
      <c r="A563">
        <v>2025</v>
      </c>
      <c r="B563" s="4" t="s">
        <v>11</v>
      </c>
      <c r="C563" t="s">
        <v>9</v>
      </c>
      <c r="D563">
        <v>11</v>
      </c>
      <c r="G563" s="3"/>
      <c r="N563">
        <v>38.74</v>
      </c>
      <c r="O563">
        <v>43.83</v>
      </c>
      <c r="P563">
        <v>23.15</v>
      </c>
      <c r="Q563">
        <v>49.57</v>
      </c>
      <c r="R563">
        <v>27.84</v>
      </c>
      <c r="S563">
        <v>8.8019999999999996</v>
      </c>
    </row>
    <row r="564" spans="1:19">
      <c r="A564">
        <v>2025</v>
      </c>
      <c r="B564" s="4" t="s">
        <v>11</v>
      </c>
      <c r="C564" t="s">
        <v>9</v>
      </c>
      <c r="D564">
        <v>11</v>
      </c>
      <c r="G564" s="3"/>
      <c r="N564">
        <v>44.93</v>
      </c>
      <c r="O564">
        <v>43.87</v>
      </c>
      <c r="P564">
        <v>24.88</v>
      </c>
      <c r="Q564">
        <v>50.43</v>
      </c>
      <c r="R564">
        <v>29.56</v>
      </c>
      <c r="S564">
        <v>7.0640000000000001</v>
      </c>
    </row>
    <row r="565" spans="1:19">
      <c r="A565">
        <v>2025</v>
      </c>
      <c r="B565" s="4" t="s">
        <v>11</v>
      </c>
      <c r="C565" t="s">
        <v>9</v>
      </c>
      <c r="D565">
        <v>12</v>
      </c>
      <c r="G565" s="3"/>
      <c r="N565">
        <v>40.43</v>
      </c>
      <c r="O565">
        <v>46.33</v>
      </c>
      <c r="P565">
        <v>27.32</v>
      </c>
      <c r="Q565">
        <v>53.79</v>
      </c>
      <c r="R565">
        <v>30.53</v>
      </c>
      <c r="S565">
        <v>7.4809999999999999</v>
      </c>
    </row>
    <row r="566" spans="1:19">
      <c r="A566">
        <v>2025</v>
      </c>
      <c r="B566" s="4" t="s">
        <v>11</v>
      </c>
      <c r="C566" t="s">
        <v>9</v>
      </c>
      <c r="D566">
        <v>12</v>
      </c>
      <c r="G566" s="3"/>
      <c r="N566">
        <v>39.42</v>
      </c>
      <c r="O566">
        <v>46.65</v>
      </c>
      <c r="P566">
        <v>26.83</v>
      </c>
      <c r="Q566">
        <v>53.81</v>
      </c>
      <c r="R566">
        <v>29.9</v>
      </c>
      <c r="S566">
        <v>6.0529999999999999</v>
      </c>
    </row>
    <row r="567" spans="1:19">
      <c r="A567">
        <v>2025</v>
      </c>
      <c r="B567" s="4" t="s">
        <v>11</v>
      </c>
      <c r="C567" t="s">
        <v>9</v>
      </c>
      <c r="D567">
        <v>13</v>
      </c>
      <c r="G567" s="3"/>
      <c r="N567">
        <v>35.25</v>
      </c>
      <c r="O567">
        <v>42.67</v>
      </c>
      <c r="P567">
        <v>18.420000000000002</v>
      </c>
      <c r="Q567">
        <v>46.48</v>
      </c>
      <c r="R567">
        <v>23.35</v>
      </c>
      <c r="S567">
        <v>9.6010000000000009</v>
      </c>
    </row>
    <row r="568" spans="1:19">
      <c r="A568">
        <v>2025</v>
      </c>
      <c r="B568" s="4" t="s">
        <v>11</v>
      </c>
      <c r="C568" t="s">
        <v>9</v>
      </c>
      <c r="D568">
        <v>13</v>
      </c>
      <c r="G568" s="3"/>
      <c r="N568">
        <v>38.21</v>
      </c>
      <c r="O568">
        <v>44.52</v>
      </c>
      <c r="P568">
        <v>22.29</v>
      </c>
      <c r="Q568">
        <v>49.79</v>
      </c>
      <c r="R568">
        <v>26.6</v>
      </c>
      <c r="S568">
        <v>9.641</v>
      </c>
    </row>
    <row r="569" spans="1:19">
      <c r="A569">
        <v>2025</v>
      </c>
      <c r="B569" s="4" t="s">
        <v>11</v>
      </c>
      <c r="C569" t="s">
        <v>9</v>
      </c>
      <c r="D569">
        <v>14</v>
      </c>
      <c r="G569" s="3"/>
      <c r="N569">
        <v>35.31</v>
      </c>
      <c r="O569">
        <v>43.08</v>
      </c>
      <c r="P569">
        <v>19.02</v>
      </c>
      <c r="Q569">
        <v>47.1</v>
      </c>
      <c r="R569">
        <v>23.82</v>
      </c>
      <c r="S569">
        <v>8.6820000000000004</v>
      </c>
    </row>
    <row r="570" spans="1:19">
      <c r="A570">
        <v>2025</v>
      </c>
      <c r="B570" s="4" t="s">
        <v>11</v>
      </c>
      <c r="C570" t="s">
        <v>9</v>
      </c>
      <c r="D570">
        <v>14</v>
      </c>
      <c r="G570" s="3"/>
      <c r="N570">
        <v>41.3</v>
      </c>
      <c r="O570">
        <v>43.57</v>
      </c>
      <c r="P570">
        <v>24.15</v>
      </c>
      <c r="Q570">
        <v>49.82</v>
      </c>
      <c r="R570">
        <v>29</v>
      </c>
      <c r="S570">
        <v>8.5389999999999997</v>
      </c>
    </row>
    <row r="571" spans="1:19">
      <c r="A571">
        <v>2025</v>
      </c>
      <c r="B571" s="4" t="s">
        <v>11</v>
      </c>
      <c r="C571" t="s">
        <v>9</v>
      </c>
      <c r="D571">
        <v>15</v>
      </c>
      <c r="G571" s="3"/>
      <c r="N571">
        <v>33.799999999999997</v>
      </c>
      <c r="O571">
        <v>46.78</v>
      </c>
      <c r="P571">
        <v>20.72</v>
      </c>
      <c r="Q571">
        <v>51.16</v>
      </c>
      <c r="R571">
        <v>23.89</v>
      </c>
      <c r="S571">
        <v>9.891</v>
      </c>
    </row>
    <row r="572" spans="1:19">
      <c r="A572">
        <v>2025</v>
      </c>
      <c r="B572" s="4" t="s">
        <v>11</v>
      </c>
      <c r="C572" t="s">
        <v>9</v>
      </c>
      <c r="D572">
        <v>15</v>
      </c>
      <c r="G572" s="3"/>
      <c r="N572">
        <v>48.33</v>
      </c>
      <c r="O572">
        <v>39.729999999999997</v>
      </c>
      <c r="P572">
        <v>26.26</v>
      </c>
      <c r="Q572">
        <v>47.62</v>
      </c>
      <c r="R572">
        <v>33.47</v>
      </c>
      <c r="S572">
        <v>10.484</v>
      </c>
    </row>
    <row r="573" spans="1:19">
      <c r="A573">
        <v>2025</v>
      </c>
      <c r="B573" s="4" t="s">
        <v>11</v>
      </c>
      <c r="C573" t="s">
        <v>7</v>
      </c>
      <c r="D573">
        <v>1</v>
      </c>
      <c r="G573" s="3"/>
      <c r="N573">
        <v>39.82</v>
      </c>
      <c r="O573">
        <v>44.35</v>
      </c>
      <c r="P573">
        <v>25.09</v>
      </c>
      <c r="Q573">
        <v>50.96</v>
      </c>
      <c r="R573">
        <v>29.49</v>
      </c>
      <c r="S573">
        <v>8.93</v>
      </c>
    </row>
    <row r="574" spans="1:19">
      <c r="A574">
        <v>2025</v>
      </c>
      <c r="B574" s="4" t="s">
        <v>11</v>
      </c>
      <c r="C574" t="s">
        <v>7</v>
      </c>
      <c r="D574">
        <v>1</v>
      </c>
      <c r="G574" s="3"/>
      <c r="N574">
        <v>61.49</v>
      </c>
      <c r="O574">
        <v>30.13</v>
      </c>
      <c r="P574">
        <v>25.67</v>
      </c>
      <c r="Q574">
        <v>39.58</v>
      </c>
      <c r="R574">
        <v>40.43</v>
      </c>
      <c r="S574">
        <v>8.8759999999999994</v>
      </c>
    </row>
    <row r="575" spans="1:19">
      <c r="A575">
        <v>2025</v>
      </c>
      <c r="B575" s="4" t="s">
        <v>11</v>
      </c>
      <c r="C575" t="s">
        <v>7</v>
      </c>
      <c r="D575">
        <v>2</v>
      </c>
      <c r="G575" s="3"/>
      <c r="N575">
        <v>35.21</v>
      </c>
      <c r="O575">
        <v>40.479999999999997</v>
      </c>
      <c r="P575">
        <v>18.22</v>
      </c>
      <c r="Q575">
        <v>44.39</v>
      </c>
      <c r="R575">
        <v>24.23</v>
      </c>
      <c r="S575">
        <v>9.3650000000000002</v>
      </c>
    </row>
    <row r="576" spans="1:19">
      <c r="A576">
        <v>2025</v>
      </c>
      <c r="B576" s="4" t="s">
        <v>11</v>
      </c>
      <c r="C576" t="s">
        <v>7</v>
      </c>
      <c r="D576">
        <v>2</v>
      </c>
      <c r="G576" s="3"/>
      <c r="N576">
        <v>60.31</v>
      </c>
      <c r="O576">
        <v>32.28</v>
      </c>
      <c r="P576">
        <v>35.93</v>
      </c>
      <c r="Q576">
        <v>48.3</v>
      </c>
      <c r="R576">
        <v>48.07</v>
      </c>
      <c r="S576">
        <v>6.05</v>
      </c>
    </row>
    <row r="577" spans="1:19">
      <c r="A577">
        <v>2025</v>
      </c>
      <c r="B577" s="4" t="s">
        <v>11</v>
      </c>
      <c r="C577" t="s">
        <v>7</v>
      </c>
      <c r="D577">
        <v>3</v>
      </c>
      <c r="G577" s="3"/>
      <c r="N577">
        <v>38.92</v>
      </c>
      <c r="O577">
        <v>40.57</v>
      </c>
      <c r="P577">
        <v>19.32</v>
      </c>
      <c r="Q577">
        <v>44.94</v>
      </c>
      <c r="R577">
        <v>25.46</v>
      </c>
      <c r="S577">
        <v>8.8740000000000006</v>
      </c>
    </row>
    <row r="578" spans="1:19">
      <c r="A578">
        <v>2025</v>
      </c>
      <c r="B578" s="4" t="s">
        <v>11</v>
      </c>
      <c r="C578" t="s">
        <v>7</v>
      </c>
      <c r="D578">
        <v>3</v>
      </c>
      <c r="G578" s="3"/>
      <c r="N578">
        <v>54.27</v>
      </c>
      <c r="O578">
        <v>37.35</v>
      </c>
      <c r="P578">
        <v>26.14</v>
      </c>
      <c r="Q578">
        <v>45.59</v>
      </c>
      <c r="R578">
        <v>34.979999999999997</v>
      </c>
      <c r="S578">
        <v>8.7590000000000003</v>
      </c>
    </row>
    <row r="579" spans="1:19">
      <c r="A579">
        <v>2025</v>
      </c>
      <c r="B579" s="4" t="s">
        <v>11</v>
      </c>
      <c r="C579" t="s">
        <v>7</v>
      </c>
      <c r="D579">
        <v>4</v>
      </c>
      <c r="G579" s="3"/>
      <c r="N579">
        <v>47.81</v>
      </c>
      <c r="O579">
        <v>41.25</v>
      </c>
      <c r="P579">
        <v>28.2</v>
      </c>
      <c r="Q579">
        <v>49.97</v>
      </c>
      <c r="R579">
        <v>34.35</v>
      </c>
      <c r="S579">
        <v>8.75</v>
      </c>
    </row>
    <row r="580" spans="1:19">
      <c r="A580">
        <v>2025</v>
      </c>
      <c r="B580" s="4" t="s">
        <v>11</v>
      </c>
      <c r="C580" t="s">
        <v>7</v>
      </c>
      <c r="D580">
        <v>4</v>
      </c>
      <c r="G580" s="3"/>
      <c r="N580">
        <v>64.36</v>
      </c>
      <c r="O580">
        <v>23.9</v>
      </c>
      <c r="P580">
        <v>25.98</v>
      </c>
      <c r="Q580">
        <v>35.299999999999997</v>
      </c>
      <c r="R580">
        <v>47.39</v>
      </c>
      <c r="S580">
        <v>7.7640000000000002</v>
      </c>
    </row>
    <row r="581" spans="1:19">
      <c r="A581">
        <v>2025</v>
      </c>
      <c r="B581" s="4" t="s">
        <v>11</v>
      </c>
      <c r="C581" t="s">
        <v>7</v>
      </c>
      <c r="D581">
        <v>5</v>
      </c>
      <c r="G581" s="3"/>
      <c r="N581">
        <v>52.32</v>
      </c>
      <c r="O581">
        <v>40.97</v>
      </c>
      <c r="P581">
        <v>28.66</v>
      </c>
      <c r="Q581">
        <v>50</v>
      </c>
      <c r="R581">
        <v>34.979999999999997</v>
      </c>
      <c r="S581">
        <v>7.87</v>
      </c>
    </row>
    <row r="582" spans="1:19">
      <c r="A582">
        <v>2025</v>
      </c>
      <c r="B582" s="4" t="s">
        <v>11</v>
      </c>
      <c r="C582" t="s">
        <v>7</v>
      </c>
      <c r="D582">
        <v>5</v>
      </c>
      <c r="G582" s="3"/>
      <c r="N582">
        <v>58.08</v>
      </c>
      <c r="O582">
        <v>35.450000000000003</v>
      </c>
      <c r="P582">
        <v>28.32</v>
      </c>
      <c r="Q582">
        <v>45.38</v>
      </c>
      <c r="R582">
        <v>38.619999999999997</v>
      </c>
      <c r="S582">
        <v>8.2070000000000007</v>
      </c>
    </row>
    <row r="583" spans="1:19">
      <c r="A583">
        <v>2025</v>
      </c>
      <c r="B583" s="4" t="s">
        <v>11</v>
      </c>
      <c r="C583" t="s">
        <v>7</v>
      </c>
      <c r="D583">
        <v>6</v>
      </c>
      <c r="G583" s="3"/>
      <c r="N583">
        <v>44.09</v>
      </c>
      <c r="O583">
        <v>39.78</v>
      </c>
      <c r="P583">
        <v>21.27</v>
      </c>
      <c r="Q583">
        <v>45.11</v>
      </c>
      <c r="R583">
        <v>28.14</v>
      </c>
      <c r="S583">
        <v>8.9890000000000008</v>
      </c>
    </row>
    <row r="584" spans="1:19">
      <c r="A584">
        <v>2025</v>
      </c>
      <c r="B584" s="4" t="s">
        <v>11</v>
      </c>
      <c r="C584" t="s">
        <v>7</v>
      </c>
      <c r="D584">
        <v>6</v>
      </c>
      <c r="G584" s="3"/>
      <c r="N584">
        <v>54.41</v>
      </c>
      <c r="O584">
        <v>32.08</v>
      </c>
      <c r="P584">
        <v>26.54</v>
      </c>
      <c r="Q584">
        <v>41.63</v>
      </c>
      <c r="R584">
        <v>39.6</v>
      </c>
      <c r="S584">
        <v>8.7560000000000002</v>
      </c>
    </row>
    <row r="585" spans="1:19">
      <c r="A585">
        <v>2025</v>
      </c>
      <c r="B585" s="4" t="s">
        <v>11</v>
      </c>
      <c r="C585" t="s">
        <v>7</v>
      </c>
      <c r="D585">
        <v>7</v>
      </c>
      <c r="G585" s="3"/>
      <c r="N585">
        <v>37.49</v>
      </c>
      <c r="O585">
        <v>41.52</v>
      </c>
      <c r="P585">
        <v>23.94</v>
      </c>
      <c r="Q585">
        <v>47.93</v>
      </c>
      <c r="R585">
        <v>29.97</v>
      </c>
      <c r="S585">
        <v>9.2370000000000001</v>
      </c>
    </row>
    <row r="586" spans="1:19">
      <c r="A586">
        <v>2025</v>
      </c>
      <c r="B586" s="4" t="s">
        <v>11</v>
      </c>
      <c r="C586" t="s">
        <v>7</v>
      </c>
      <c r="D586">
        <v>7</v>
      </c>
      <c r="G586" s="3"/>
      <c r="N586">
        <v>50.63</v>
      </c>
      <c r="O586">
        <v>39.78</v>
      </c>
      <c r="P586">
        <v>28.93</v>
      </c>
      <c r="Q586">
        <v>49.19</v>
      </c>
      <c r="R586">
        <v>36.03</v>
      </c>
      <c r="S586">
        <v>9.8960000000000008</v>
      </c>
    </row>
    <row r="587" spans="1:19">
      <c r="A587">
        <v>2025</v>
      </c>
      <c r="B587" s="4" t="s">
        <v>11</v>
      </c>
      <c r="C587" t="s">
        <v>7</v>
      </c>
      <c r="D587">
        <v>8</v>
      </c>
      <c r="G587" s="3"/>
      <c r="N587">
        <v>35.229999999999997</v>
      </c>
      <c r="O587">
        <v>45.37</v>
      </c>
      <c r="P587">
        <v>23.15</v>
      </c>
      <c r="Q587">
        <v>50.94</v>
      </c>
      <c r="R587">
        <v>27.03</v>
      </c>
      <c r="S587">
        <v>8.8030000000000008</v>
      </c>
    </row>
    <row r="588" spans="1:19">
      <c r="A588">
        <v>2025</v>
      </c>
      <c r="B588" s="4" t="s">
        <v>11</v>
      </c>
      <c r="C588" t="s">
        <v>7</v>
      </c>
      <c r="D588">
        <v>8</v>
      </c>
      <c r="G588" s="3"/>
      <c r="N588">
        <v>47.61</v>
      </c>
      <c r="O588">
        <v>43.5</v>
      </c>
      <c r="P588">
        <v>28.33</v>
      </c>
      <c r="Q588">
        <v>51.91</v>
      </c>
      <c r="R588">
        <v>33.08</v>
      </c>
      <c r="S588">
        <v>9.1639999999999997</v>
      </c>
    </row>
    <row r="589" spans="1:19">
      <c r="A589">
        <v>2025</v>
      </c>
      <c r="B589" s="4" t="s">
        <v>11</v>
      </c>
      <c r="C589" t="s">
        <v>7</v>
      </c>
      <c r="D589">
        <v>9</v>
      </c>
      <c r="G589" s="3"/>
      <c r="N589">
        <v>35.520000000000003</v>
      </c>
      <c r="O589">
        <v>42.9</v>
      </c>
      <c r="P589">
        <v>20.48</v>
      </c>
      <c r="Q589">
        <v>47.54</v>
      </c>
      <c r="R589">
        <v>25.52</v>
      </c>
      <c r="S589">
        <v>7.5750000000000002</v>
      </c>
    </row>
    <row r="590" spans="1:19">
      <c r="A590">
        <v>2025</v>
      </c>
      <c r="B590" s="4" t="s">
        <v>11</v>
      </c>
      <c r="C590" t="s">
        <v>7</v>
      </c>
      <c r="D590">
        <v>9</v>
      </c>
      <c r="G590" s="3"/>
      <c r="N590">
        <v>73.25</v>
      </c>
      <c r="O590">
        <v>8.9499999999999993</v>
      </c>
      <c r="P590">
        <v>41.05</v>
      </c>
      <c r="Q590">
        <v>42.01</v>
      </c>
      <c r="R590">
        <v>77.69</v>
      </c>
      <c r="S590">
        <v>8.5579999999999998</v>
      </c>
    </row>
    <row r="591" spans="1:19">
      <c r="A591">
        <v>2025</v>
      </c>
      <c r="B591" s="4" t="s">
        <v>11</v>
      </c>
      <c r="C591" t="s">
        <v>7</v>
      </c>
      <c r="D591">
        <v>10</v>
      </c>
      <c r="G591" s="3"/>
      <c r="N591">
        <v>42.81</v>
      </c>
      <c r="O591">
        <v>42.29</v>
      </c>
      <c r="P591">
        <v>24.82</v>
      </c>
      <c r="Q591">
        <v>49.04</v>
      </c>
      <c r="R591">
        <v>30.41</v>
      </c>
      <c r="S591">
        <v>6.8940000000000001</v>
      </c>
    </row>
    <row r="592" spans="1:19">
      <c r="A592">
        <v>2025</v>
      </c>
      <c r="B592" s="4" t="s">
        <v>11</v>
      </c>
      <c r="C592" t="s">
        <v>7</v>
      </c>
      <c r="D592">
        <v>10</v>
      </c>
      <c r="G592" s="3"/>
      <c r="N592">
        <v>53.32</v>
      </c>
      <c r="O592">
        <v>39.18</v>
      </c>
      <c r="P592">
        <v>29.39</v>
      </c>
      <c r="Q592">
        <v>48.98</v>
      </c>
      <c r="R592">
        <v>36.880000000000003</v>
      </c>
      <c r="S592">
        <v>6.4850000000000003</v>
      </c>
    </row>
    <row r="593" spans="1:19">
      <c r="A593">
        <v>2025</v>
      </c>
      <c r="B593" s="4" t="s">
        <v>11</v>
      </c>
      <c r="C593" t="s">
        <v>7</v>
      </c>
      <c r="D593">
        <v>11</v>
      </c>
      <c r="G593" s="3"/>
      <c r="N593">
        <v>35.1</v>
      </c>
      <c r="O593">
        <v>39.700000000000003</v>
      </c>
      <c r="P593">
        <v>18.86</v>
      </c>
      <c r="Q593">
        <v>43.95</v>
      </c>
      <c r="R593">
        <v>25.41</v>
      </c>
      <c r="S593">
        <v>8.3160000000000007</v>
      </c>
    </row>
    <row r="594" spans="1:19">
      <c r="A594">
        <v>2025</v>
      </c>
      <c r="B594" s="4" t="s">
        <v>11</v>
      </c>
      <c r="C594" t="s">
        <v>7</v>
      </c>
      <c r="D594">
        <v>11</v>
      </c>
      <c r="G594" s="3"/>
      <c r="N594">
        <v>68.09</v>
      </c>
      <c r="O594">
        <v>14.92</v>
      </c>
      <c r="P594">
        <v>28.52</v>
      </c>
      <c r="Q594">
        <v>32.19</v>
      </c>
      <c r="R594">
        <v>62.38</v>
      </c>
      <c r="S594">
        <v>8.69</v>
      </c>
    </row>
    <row r="595" spans="1:19">
      <c r="A595">
        <v>2025</v>
      </c>
      <c r="B595" s="4" t="s">
        <v>11</v>
      </c>
      <c r="C595" t="s">
        <v>7</v>
      </c>
      <c r="D595">
        <v>12</v>
      </c>
      <c r="G595" s="3"/>
      <c r="N595">
        <v>42.01</v>
      </c>
      <c r="O595">
        <v>43.43</v>
      </c>
      <c r="P595">
        <v>24.64</v>
      </c>
      <c r="Q595">
        <v>49.94</v>
      </c>
      <c r="R595">
        <v>29.57</v>
      </c>
      <c r="S595">
        <v>6.5049999999999999</v>
      </c>
    </row>
    <row r="596" spans="1:19">
      <c r="A596">
        <v>2025</v>
      </c>
      <c r="B596" s="4" t="s">
        <v>11</v>
      </c>
      <c r="C596" t="s">
        <v>7</v>
      </c>
      <c r="D596">
        <v>12</v>
      </c>
      <c r="G596" s="3"/>
      <c r="N596">
        <v>59.01</v>
      </c>
      <c r="O596">
        <v>31.74</v>
      </c>
      <c r="P596">
        <v>30.68</v>
      </c>
      <c r="Q596">
        <v>44.15</v>
      </c>
      <c r="R596">
        <v>44.03</v>
      </c>
      <c r="S596">
        <v>6.9480000000000004</v>
      </c>
    </row>
    <row r="597" spans="1:19">
      <c r="A597">
        <v>2025</v>
      </c>
      <c r="B597" s="4" t="s">
        <v>11</v>
      </c>
      <c r="C597" t="s">
        <v>7</v>
      </c>
      <c r="D597">
        <v>13</v>
      </c>
      <c r="G597" s="3"/>
      <c r="N597">
        <v>48.28</v>
      </c>
      <c r="O597">
        <v>42.94</v>
      </c>
      <c r="P597">
        <v>28.81</v>
      </c>
      <c r="Q597">
        <v>51.71</v>
      </c>
      <c r="R597">
        <v>33.86</v>
      </c>
      <c r="S597">
        <v>7.1109999999999998</v>
      </c>
    </row>
    <row r="598" spans="1:19">
      <c r="A598">
        <v>2025</v>
      </c>
      <c r="B598" s="4" t="s">
        <v>11</v>
      </c>
      <c r="C598" t="s">
        <v>7</v>
      </c>
      <c r="D598">
        <v>13</v>
      </c>
      <c r="G598" s="3"/>
      <c r="N598">
        <v>46.08</v>
      </c>
      <c r="O598">
        <v>44.26</v>
      </c>
      <c r="P598">
        <v>27.27</v>
      </c>
      <c r="Q598">
        <v>51.98</v>
      </c>
      <c r="R598">
        <v>31.64</v>
      </c>
      <c r="S598">
        <v>7.4560000000000004</v>
      </c>
    </row>
    <row r="599" spans="1:19">
      <c r="A599">
        <v>2025</v>
      </c>
      <c r="B599" s="4" t="s">
        <v>11</v>
      </c>
      <c r="C599" t="s">
        <v>7</v>
      </c>
      <c r="D599">
        <v>14</v>
      </c>
      <c r="G599" s="3"/>
      <c r="N599">
        <v>36.72</v>
      </c>
      <c r="O599">
        <v>42.54</v>
      </c>
      <c r="P599">
        <v>19.78</v>
      </c>
      <c r="Q599">
        <v>46.91</v>
      </c>
      <c r="R599">
        <v>24.94</v>
      </c>
      <c r="S599">
        <v>8.8460000000000001</v>
      </c>
    </row>
    <row r="600" spans="1:19">
      <c r="A600">
        <v>2025</v>
      </c>
      <c r="B600" s="4" t="s">
        <v>11</v>
      </c>
      <c r="C600" t="s">
        <v>7</v>
      </c>
      <c r="D600">
        <v>14</v>
      </c>
      <c r="G600" s="3"/>
      <c r="N600">
        <v>67.400000000000006</v>
      </c>
      <c r="O600">
        <v>12.71</v>
      </c>
      <c r="P600">
        <v>36.479999999999997</v>
      </c>
      <c r="Q600">
        <v>38.630000000000003</v>
      </c>
      <c r="R600">
        <v>70.8</v>
      </c>
      <c r="S600">
        <v>11.878</v>
      </c>
    </row>
    <row r="601" spans="1:19">
      <c r="A601">
        <v>2025</v>
      </c>
      <c r="B601" s="4" t="s">
        <v>11</v>
      </c>
      <c r="C601" t="s">
        <v>7</v>
      </c>
      <c r="D601">
        <v>15</v>
      </c>
      <c r="G601" s="3"/>
      <c r="N601">
        <v>39.25</v>
      </c>
      <c r="O601">
        <v>44.43</v>
      </c>
      <c r="P601">
        <v>21.21</v>
      </c>
      <c r="Q601">
        <v>49.23</v>
      </c>
      <c r="R601">
        <v>25.52</v>
      </c>
      <c r="S601">
        <v>7.181</v>
      </c>
    </row>
    <row r="602" spans="1:19">
      <c r="A602">
        <v>2025</v>
      </c>
      <c r="B602" s="4" t="s">
        <v>11</v>
      </c>
      <c r="C602" t="s">
        <v>7</v>
      </c>
      <c r="D602">
        <v>15</v>
      </c>
      <c r="G602" s="3"/>
      <c r="N602">
        <v>57.49</v>
      </c>
      <c r="O602">
        <v>34.54</v>
      </c>
      <c r="P602">
        <v>30.35</v>
      </c>
      <c r="Q602">
        <v>45.98</v>
      </c>
      <c r="R602">
        <v>41.3</v>
      </c>
      <c r="S602">
        <v>8.1069999999999993</v>
      </c>
    </row>
    <row r="603" spans="1:19">
      <c r="A603">
        <v>2025</v>
      </c>
      <c r="B603" t="s">
        <v>5</v>
      </c>
      <c r="C603" t="s">
        <v>10</v>
      </c>
      <c r="D603">
        <v>1</v>
      </c>
      <c r="G603" s="3"/>
      <c r="N603">
        <v>39.76</v>
      </c>
      <c r="O603">
        <v>42.13</v>
      </c>
      <c r="P603">
        <v>23.48</v>
      </c>
      <c r="Q603">
        <v>48.23</v>
      </c>
      <c r="R603">
        <v>29.13</v>
      </c>
      <c r="S603">
        <v>11.571999999999999</v>
      </c>
    </row>
    <row r="604" spans="1:19">
      <c r="A604">
        <v>2025</v>
      </c>
      <c r="B604" t="s">
        <v>5</v>
      </c>
      <c r="C604" t="s">
        <v>10</v>
      </c>
      <c r="D604">
        <v>1</v>
      </c>
      <c r="G604" s="3"/>
      <c r="N604">
        <v>41.27</v>
      </c>
      <c r="O604">
        <v>40.840000000000003</v>
      </c>
      <c r="P604">
        <v>23.84</v>
      </c>
      <c r="Q604">
        <v>47.29</v>
      </c>
      <c r="R604">
        <v>30.28</v>
      </c>
      <c r="S604">
        <v>11.119</v>
      </c>
    </row>
    <row r="605" spans="1:19">
      <c r="A605">
        <v>2025</v>
      </c>
      <c r="B605" t="s">
        <v>5</v>
      </c>
      <c r="C605" t="s">
        <v>10</v>
      </c>
      <c r="D605">
        <v>2</v>
      </c>
      <c r="G605" s="3"/>
      <c r="N605">
        <v>33.21</v>
      </c>
      <c r="O605">
        <v>43.82</v>
      </c>
      <c r="P605">
        <v>20.58</v>
      </c>
      <c r="Q605">
        <v>48.42</v>
      </c>
      <c r="R605">
        <v>25.16</v>
      </c>
      <c r="S605">
        <v>10.803000000000001</v>
      </c>
    </row>
    <row r="606" spans="1:19">
      <c r="A606">
        <v>2025</v>
      </c>
      <c r="B606" t="s">
        <v>5</v>
      </c>
      <c r="C606" t="s">
        <v>10</v>
      </c>
      <c r="D606">
        <v>2</v>
      </c>
      <c r="G606" s="3"/>
      <c r="N606">
        <v>51.87</v>
      </c>
      <c r="O606">
        <v>39.6</v>
      </c>
      <c r="P606">
        <v>29.08</v>
      </c>
      <c r="Q606">
        <v>49.13</v>
      </c>
      <c r="R606">
        <v>36.29</v>
      </c>
      <c r="S606">
        <v>9.2750000000000004</v>
      </c>
    </row>
    <row r="607" spans="1:19">
      <c r="A607">
        <v>2025</v>
      </c>
      <c r="B607" t="s">
        <v>5</v>
      </c>
      <c r="C607" t="s">
        <v>10</v>
      </c>
      <c r="D607">
        <v>3</v>
      </c>
      <c r="G607" s="3"/>
      <c r="N607">
        <v>34.32</v>
      </c>
      <c r="O607">
        <v>42.38</v>
      </c>
      <c r="P607">
        <v>18.52</v>
      </c>
      <c r="Q607">
        <v>46.25</v>
      </c>
      <c r="R607">
        <v>23.6</v>
      </c>
      <c r="S607">
        <v>9.7119999999999997</v>
      </c>
    </row>
    <row r="608" spans="1:19">
      <c r="A608">
        <v>2025</v>
      </c>
      <c r="B608" t="s">
        <v>5</v>
      </c>
      <c r="C608" t="s">
        <v>10</v>
      </c>
      <c r="D608">
        <v>3</v>
      </c>
      <c r="G608" s="3"/>
      <c r="N608">
        <v>51.06</v>
      </c>
      <c r="O608">
        <v>37.979999999999997</v>
      </c>
      <c r="P608">
        <v>28.65</v>
      </c>
      <c r="Q608">
        <v>47.58</v>
      </c>
      <c r="R608">
        <v>37.03</v>
      </c>
      <c r="S608">
        <v>11.443</v>
      </c>
    </row>
    <row r="609" spans="1:19">
      <c r="A609">
        <v>2025</v>
      </c>
      <c r="B609" t="s">
        <v>5</v>
      </c>
      <c r="C609" t="s">
        <v>10</v>
      </c>
      <c r="D609">
        <v>4</v>
      </c>
      <c r="G609" s="3"/>
      <c r="N609">
        <v>35.06</v>
      </c>
      <c r="O609">
        <v>46.57</v>
      </c>
      <c r="P609">
        <v>24.67</v>
      </c>
      <c r="Q609">
        <v>52.7</v>
      </c>
      <c r="R609">
        <v>27.91</v>
      </c>
      <c r="S609">
        <v>9.4260000000000002</v>
      </c>
    </row>
    <row r="610" spans="1:19">
      <c r="A610">
        <v>2025</v>
      </c>
      <c r="B610" t="s">
        <v>5</v>
      </c>
      <c r="C610" t="s">
        <v>10</v>
      </c>
      <c r="D610">
        <v>4</v>
      </c>
      <c r="G610" s="3"/>
      <c r="N610">
        <v>45.38</v>
      </c>
      <c r="O610">
        <v>43.62</v>
      </c>
      <c r="P610">
        <v>25.96</v>
      </c>
      <c r="Q610">
        <v>50.76</v>
      </c>
      <c r="R610">
        <v>30.76</v>
      </c>
      <c r="S610">
        <v>9.2390000000000008</v>
      </c>
    </row>
    <row r="611" spans="1:19">
      <c r="A611">
        <v>2025</v>
      </c>
      <c r="B611" t="s">
        <v>5</v>
      </c>
      <c r="C611" t="s">
        <v>10</v>
      </c>
      <c r="D611">
        <v>5</v>
      </c>
      <c r="G611" s="3"/>
      <c r="N611">
        <v>32.24</v>
      </c>
      <c r="O611">
        <v>41.12</v>
      </c>
      <c r="P611">
        <v>15.69</v>
      </c>
      <c r="Q611">
        <v>44.01</v>
      </c>
      <c r="R611">
        <v>20.88</v>
      </c>
      <c r="S611">
        <v>7.2809999999999997</v>
      </c>
    </row>
    <row r="612" spans="1:19">
      <c r="A612">
        <v>2025</v>
      </c>
      <c r="B612" t="s">
        <v>5</v>
      </c>
      <c r="C612" t="s">
        <v>10</v>
      </c>
      <c r="D612">
        <v>5</v>
      </c>
      <c r="G612" s="3"/>
      <c r="N612">
        <v>45.07</v>
      </c>
      <c r="O612">
        <v>43.94</v>
      </c>
      <c r="P612">
        <v>28.6</v>
      </c>
      <c r="Q612">
        <v>52.43</v>
      </c>
      <c r="R612">
        <v>33.049999999999997</v>
      </c>
      <c r="S612">
        <v>8.0280000000000005</v>
      </c>
    </row>
    <row r="613" spans="1:19">
      <c r="A613">
        <v>2025</v>
      </c>
      <c r="B613" t="s">
        <v>5</v>
      </c>
      <c r="C613" t="s">
        <v>10</v>
      </c>
      <c r="D613">
        <v>6</v>
      </c>
      <c r="G613" s="3"/>
      <c r="N613">
        <v>30.91</v>
      </c>
      <c r="O613">
        <v>40.64</v>
      </c>
      <c r="P613">
        <v>15.62</v>
      </c>
      <c r="Q613">
        <v>43.53</v>
      </c>
      <c r="R613">
        <v>21.03</v>
      </c>
      <c r="S613">
        <v>10.241</v>
      </c>
    </row>
    <row r="614" spans="1:19">
      <c r="A614">
        <v>2025</v>
      </c>
      <c r="B614" t="s">
        <v>5</v>
      </c>
      <c r="C614" t="s">
        <v>10</v>
      </c>
      <c r="D614">
        <v>6</v>
      </c>
      <c r="G614" s="3"/>
      <c r="N614">
        <v>58.62</v>
      </c>
      <c r="O614">
        <v>31.84</v>
      </c>
      <c r="P614">
        <v>30.85</v>
      </c>
      <c r="Q614">
        <v>44.33</v>
      </c>
      <c r="R614">
        <v>44.09</v>
      </c>
      <c r="S614">
        <v>10.396000000000001</v>
      </c>
    </row>
    <row r="615" spans="1:19">
      <c r="A615">
        <v>2025</v>
      </c>
      <c r="B615" t="s">
        <v>5</v>
      </c>
      <c r="C615" t="s">
        <v>10</v>
      </c>
      <c r="D615">
        <v>7</v>
      </c>
      <c r="G615" s="3"/>
      <c r="N615">
        <v>33.43</v>
      </c>
      <c r="O615">
        <v>41.89</v>
      </c>
      <c r="P615">
        <v>19.64</v>
      </c>
      <c r="Q615">
        <v>46.26</v>
      </c>
      <c r="R615">
        <v>25.12</v>
      </c>
      <c r="S615">
        <v>9.5</v>
      </c>
    </row>
    <row r="616" spans="1:19">
      <c r="A616">
        <v>2025</v>
      </c>
      <c r="B616" t="s">
        <v>5</v>
      </c>
      <c r="C616" t="s">
        <v>10</v>
      </c>
      <c r="D616">
        <v>7</v>
      </c>
      <c r="G616" s="3"/>
      <c r="N616">
        <v>43.25</v>
      </c>
      <c r="O616">
        <v>43.01</v>
      </c>
      <c r="P616">
        <v>26.09</v>
      </c>
      <c r="Q616">
        <v>50.3</v>
      </c>
      <c r="R616">
        <v>31.25</v>
      </c>
      <c r="S616">
        <v>10.039999999999999</v>
      </c>
    </row>
    <row r="617" spans="1:19">
      <c r="A617">
        <v>2025</v>
      </c>
      <c r="B617" t="s">
        <v>5</v>
      </c>
      <c r="C617" t="s">
        <v>10</v>
      </c>
      <c r="D617">
        <v>8</v>
      </c>
      <c r="G617" s="3"/>
      <c r="N617">
        <v>40.82</v>
      </c>
      <c r="O617">
        <v>39.229999999999997</v>
      </c>
      <c r="P617">
        <v>20.440000000000001</v>
      </c>
      <c r="Q617">
        <v>44.23</v>
      </c>
      <c r="R617">
        <v>27.52</v>
      </c>
      <c r="S617">
        <v>9.6750000000000007</v>
      </c>
    </row>
    <row r="618" spans="1:19">
      <c r="A618">
        <v>2025</v>
      </c>
      <c r="B618" t="s">
        <v>5</v>
      </c>
      <c r="C618" t="s">
        <v>10</v>
      </c>
      <c r="D618">
        <v>8</v>
      </c>
      <c r="G618" s="3"/>
      <c r="N618">
        <v>44.67</v>
      </c>
      <c r="O618">
        <v>37.229999999999997</v>
      </c>
      <c r="P618">
        <v>21.04</v>
      </c>
      <c r="Q618">
        <v>42.77</v>
      </c>
      <c r="R618">
        <v>29.47</v>
      </c>
      <c r="S618">
        <v>9.1639999999999997</v>
      </c>
    </row>
    <row r="619" spans="1:19">
      <c r="A619">
        <v>2025</v>
      </c>
      <c r="B619" t="s">
        <v>5</v>
      </c>
      <c r="C619" t="s">
        <v>10</v>
      </c>
      <c r="D619">
        <v>9</v>
      </c>
      <c r="G619" s="3"/>
      <c r="N619">
        <v>34.58</v>
      </c>
      <c r="O619">
        <v>41.6</v>
      </c>
      <c r="P619">
        <v>18.440000000000001</v>
      </c>
      <c r="Q619">
        <v>45.5</v>
      </c>
      <c r="R619">
        <v>23.91</v>
      </c>
      <c r="S619">
        <v>10.862</v>
      </c>
    </row>
    <row r="620" spans="1:19">
      <c r="A620">
        <v>2025</v>
      </c>
      <c r="B620" t="s">
        <v>5</v>
      </c>
      <c r="C620" t="s">
        <v>10</v>
      </c>
      <c r="D620">
        <v>9</v>
      </c>
      <c r="G620" s="3"/>
      <c r="N620">
        <v>48.46</v>
      </c>
      <c r="O620">
        <v>42.47</v>
      </c>
      <c r="P620">
        <v>24.98</v>
      </c>
      <c r="Q620">
        <v>49.27</v>
      </c>
      <c r="R620">
        <v>30.46</v>
      </c>
      <c r="S620">
        <v>9.4849999999999994</v>
      </c>
    </row>
    <row r="621" spans="1:19">
      <c r="A621">
        <v>2025</v>
      </c>
      <c r="B621" t="s">
        <v>5</v>
      </c>
      <c r="C621" t="s">
        <v>10</v>
      </c>
      <c r="D621">
        <v>10</v>
      </c>
      <c r="G621" s="3"/>
      <c r="N621">
        <v>37.49</v>
      </c>
      <c r="O621">
        <v>42.94</v>
      </c>
      <c r="P621">
        <v>21.8</v>
      </c>
      <c r="Q621">
        <v>48.15</v>
      </c>
      <c r="R621">
        <v>26.91</v>
      </c>
      <c r="S621">
        <v>9.1460000000000008</v>
      </c>
    </row>
    <row r="622" spans="1:19">
      <c r="A622">
        <v>2025</v>
      </c>
      <c r="B622" t="s">
        <v>5</v>
      </c>
      <c r="C622" t="s">
        <v>10</v>
      </c>
      <c r="D622">
        <v>10</v>
      </c>
      <c r="G622" s="3"/>
      <c r="N622">
        <v>39.82</v>
      </c>
      <c r="O622">
        <v>45.31</v>
      </c>
      <c r="P622">
        <v>26.28</v>
      </c>
      <c r="Q622">
        <v>52.38</v>
      </c>
      <c r="R622">
        <v>30.12</v>
      </c>
      <c r="S622">
        <v>9.1470000000000002</v>
      </c>
    </row>
    <row r="623" spans="1:19">
      <c r="A623">
        <v>2025</v>
      </c>
      <c r="B623" t="s">
        <v>5</v>
      </c>
      <c r="C623" t="s">
        <v>10</v>
      </c>
      <c r="D623">
        <v>11</v>
      </c>
      <c r="G623" s="3"/>
      <c r="N623">
        <v>32.770000000000003</v>
      </c>
      <c r="O623">
        <v>43.2</v>
      </c>
      <c r="P623">
        <v>18.84</v>
      </c>
      <c r="Q623">
        <v>47.13</v>
      </c>
      <c r="R623">
        <v>23.56</v>
      </c>
      <c r="S623">
        <v>9.3949999999999996</v>
      </c>
    </row>
    <row r="624" spans="1:19">
      <c r="A624">
        <v>2025</v>
      </c>
      <c r="B624" t="s">
        <v>5</v>
      </c>
      <c r="C624" t="s">
        <v>10</v>
      </c>
      <c r="D624">
        <v>11</v>
      </c>
      <c r="G624" s="3"/>
      <c r="N624">
        <v>40.200000000000003</v>
      </c>
      <c r="O624">
        <v>43</v>
      </c>
      <c r="P624">
        <v>22.64</v>
      </c>
      <c r="Q624">
        <v>48.6</v>
      </c>
      <c r="R624">
        <v>27.77</v>
      </c>
      <c r="S624">
        <v>9.3330000000000002</v>
      </c>
    </row>
    <row r="625" spans="1:19">
      <c r="A625">
        <v>2025</v>
      </c>
      <c r="B625" t="s">
        <v>5</v>
      </c>
      <c r="C625" t="s">
        <v>10</v>
      </c>
      <c r="D625">
        <v>12</v>
      </c>
      <c r="G625" s="3"/>
      <c r="N625">
        <v>31.98</v>
      </c>
      <c r="O625">
        <v>40.340000000000003</v>
      </c>
      <c r="P625">
        <v>16.829999999999998</v>
      </c>
      <c r="Q625">
        <v>43.71</v>
      </c>
      <c r="R625">
        <v>22.65</v>
      </c>
      <c r="S625">
        <v>9.0380000000000003</v>
      </c>
    </row>
    <row r="626" spans="1:19">
      <c r="A626">
        <v>2025</v>
      </c>
      <c r="B626" t="s">
        <v>5</v>
      </c>
      <c r="C626" t="s">
        <v>10</v>
      </c>
      <c r="D626">
        <v>12</v>
      </c>
      <c r="G626" s="3"/>
      <c r="N626">
        <v>45.48</v>
      </c>
      <c r="O626">
        <v>43.59</v>
      </c>
      <c r="P626">
        <v>27.81</v>
      </c>
      <c r="Q626">
        <v>51.7</v>
      </c>
      <c r="R626">
        <v>32.54</v>
      </c>
      <c r="S626">
        <v>9.1549999999999994</v>
      </c>
    </row>
    <row r="627" spans="1:19">
      <c r="A627">
        <v>2025</v>
      </c>
      <c r="B627" t="s">
        <v>5</v>
      </c>
      <c r="C627" t="s">
        <v>10</v>
      </c>
      <c r="D627">
        <v>13</v>
      </c>
      <c r="G627" s="3"/>
      <c r="N627">
        <v>39.29</v>
      </c>
      <c r="O627">
        <v>42.32</v>
      </c>
      <c r="P627">
        <v>18.399999999999999</v>
      </c>
      <c r="Q627">
        <v>46.15</v>
      </c>
      <c r="R627">
        <v>23.49</v>
      </c>
      <c r="S627">
        <v>8.7989999999999995</v>
      </c>
    </row>
    <row r="628" spans="1:19">
      <c r="A628">
        <v>2025</v>
      </c>
      <c r="B628" t="s">
        <v>5</v>
      </c>
      <c r="C628" t="s">
        <v>10</v>
      </c>
      <c r="D628">
        <v>13</v>
      </c>
      <c r="G628" s="3"/>
      <c r="N628">
        <v>37.619999999999997</v>
      </c>
      <c r="O628">
        <v>40.51</v>
      </c>
      <c r="P628">
        <v>17.510000000000002</v>
      </c>
      <c r="Q628">
        <v>44.13</v>
      </c>
      <c r="R628">
        <v>23.38</v>
      </c>
      <c r="S628">
        <v>8.6110000000000007</v>
      </c>
    </row>
    <row r="629" spans="1:19">
      <c r="A629">
        <v>2025</v>
      </c>
      <c r="B629" t="s">
        <v>5</v>
      </c>
      <c r="C629" t="s">
        <v>10</v>
      </c>
      <c r="D629">
        <v>14</v>
      </c>
      <c r="G629" s="3"/>
      <c r="N629">
        <v>39.799999999999997</v>
      </c>
      <c r="O629">
        <v>43.55</v>
      </c>
      <c r="P629">
        <v>21.65</v>
      </c>
      <c r="Q629">
        <v>48.63</v>
      </c>
      <c r="R629">
        <v>26.43</v>
      </c>
      <c r="S629">
        <v>8.4190000000000005</v>
      </c>
    </row>
    <row r="630" spans="1:19">
      <c r="A630">
        <v>2025</v>
      </c>
      <c r="B630" t="s">
        <v>5</v>
      </c>
      <c r="C630" t="s">
        <v>10</v>
      </c>
      <c r="D630">
        <v>14</v>
      </c>
      <c r="G630" s="3"/>
      <c r="N630">
        <v>42.67</v>
      </c>
      <c r="O630">
        <v>43.12</v>
      </c>
      <c r="P630">
        <v>23.27</v>
      </c>
      <c r="Q630">
        <v>49</v>
      </c>
      <c r="R630">
        <v>28.35</v>
      </c>
      <c r="S630">
        <v>9.1950000000000003</v>
      </c>
    </row>
    <row r="631" spans="1:19">
      <c r="A631">
        <v>2025</v>
      </c>
      <c r="B631" t="s">
        <v>5</v>
      </c>
      <c r="C631" t="s">
        <v>10</v>
      </c>
      <c r="D631">
        <v>15</v>
      </c>
      <c r="G631" s="3"/>
      <c r="N631">
        <v>35.76</v>
      </c>
      <c r="O631">
        <v>45.68</v>
      </c>
      <c r="P631">
        <v>21.92</v>
      </c>
      <c r="Q631">
        <v>50.67</v>
      </c>
      <c r="R631">
        <v>25.64</v>
      </c>
      <c r="S631">
        <v>9.1609999999999996</v>
      </c>
    </row>
    <row r="632" spans="1:19">
      <c r="A632">
        <v>2025</v>
      </c>
      <c r="B632" t="s">
        <v>5</v>
      </c>
      <c r="C632" t="s">
        <v>10</v>
      </c>
      <c r="D632">
        <v>15</v>
      </c>
      <c r="G632" s="3"/>
      <c r="N632">
        <v>49.48</v>
      </c>
      <c r="O632">
        <v>40.020000000000003</v>
      </c>
      <c r="P632">
        <v>23.01</v>
      </c>
      <c r="Q632">
        <v>46.16</v>
      </c>
      <c r="R632">
        <v>29.9</v>
      </c>
      <c r="S632">
        <v>9.0069999999999997</v>
      </c>
    </row>
    <row r="633" spans="1:19">
      <c r="A633">
        <v>2025</v>
      </c>
      <c r="B633" t="s">
        <v>5</v>
      </c>
      <c r="C633" t="s">
        <v>9</v>
      </c>
      <c r="D633">
        <v>1</v>
      </c>
      <c r="G633" s="3"/>
      <c r="N633">
        <v>48.52</v>
      </c>
      <c r="O633">
        <v>34.340000000000003</v>
      </c>
      <c r="P633">
        <v>20.72</v>
      </c>
      <c r="Q633">
        <v>40.11</v>
      </c>
      <c r="R633">
        <v>31.1</v>
      </c>
      <c r="S633">
        <v>8.8119999999999994</v>
      </c>
    </row>
    <row r="634" spans="1:19">
      <c r="A634">
        <v>2025</v>
      </c>
      <c r="B634" t="s">
        <v>5</v>
      </c>
      <c r="C634" t="s">
        <v>9</v>
      </c>
      <c r="D634">
        <v>1</v>
      </c>
      <c r="G634" s="3"/>
      <c r="N634">
        <v>46.57</v>
      </c>
      <c r="O634">
        <v>38.69</v>
      </c>
      <c r="P634">
        <v>22.8</v>
      </c>
      <c r="Q634">
        <v>44.91</v>
      </c>
      <c r="R634">
        <v>30.51</v>
      </c>
      <c r="S634">
        <v>9.1140000000000008</v>
      </c>
    </row>
    <row r="635" spans="1:19">
      <c r="A635">
        <v>2025</v>
      </c>
      <c r="B635" t="s">
        <v>5</v>
      </c>
      <c r="C635" t="s">
        <v>9</v>
      </c>
      <c r="D635">
        <v>2</v>
      </c>
      <c r="G635" s="3"/>
      <c r="N635">
        <v>48.07</v>
      </c>
      <c r="O635">
        <v>35.53</v>
      </c>
      <c r="P635">
        <v>25.16</v>
      </c>
      <c r="Q635">
        <v>43.54</v>
      </c>
      <c r="R635">
        <v>35.31</v>
      </c>
      <c r="S635">
        <v>6.3780000000000001</v>
      </c>
    </row>
    <row r="636" spans="1:19">
      <c r="A636">
        <v>2025</v>
      </c>
      <c r="B636" t="s">
        <v>5</v>
      </c>
      <c r="C636" t="s">
        <v>9</v>
      </c>
      <c r="D636">
        <v>2</v>
      </c>
      <c r="G636" s="3"/>
      <c r="N636">
        <v>45.87</v>
      </c>
      <c r="O636">
        <v>37.880000000000003</v>
      </c>
      <c r="P636">
        <v>22.92</v>
      </c>
      <c r="Q636">
        <v>44.28</v>
      </c>
      <c r="R636">
        <v>31.18</v>
      </c>
      <c r="S636">
        <v>7.702</v>
      </c>
    </row>
    <row r="637" spans="1:19">
      <c r="A637">
        <v>2025</v>
      </c>
      <c r="B637" t="s">
        <v>5</v>
      </c>
      <c r="C637" t="s">
        <v>9</v>
      </c>
      <c r="D637">
        <v>3</v>
      </c>
      <c r="G637" s="3"/>
      <c r="N637">
        <v>37.69</v>
      </c>
      <c r="O637">
        <v>43.12</v>
      </c>
      <c r="P637">
        <v>21.72</v>
      </c>
      <c r="Q637">
        <v>48.28</v>
      </c>
      <c r="R637">
        <v>26.73</v>
      </c>
      <c r="S637">
        <v>7.5670000000000002</v>
      </c>
    </row>
    <row r="638" spans="1:19">
      <c r="A638">
        <v>2025</v>
      </c>
      <c r="B638" t="s">
        <v>5</v>
      </c>
      <c r="C638" t="s">
        <v>9</v>
      </c>
      <c r="D638">
        <v>3</v>
      </c>
      <c r="G638" s="3"/>
      <c r="N638">
        <v>66.94</v>
      </c>
      <c r="O638">
        <v>13.4</v>
      </c>
      <c r="P638">
        <v>30.84</v>
      </c>
      <c r="Q638">
        <v>33.619999999999997</v>
      </c>
      <c r="R638">
        <v>66.510000000000005</v>
      </c>
      <c r="S638">
        <v>7.7809999999999997</v>
      </c>
    </row>
    <row r="639" spans="1:19">
      <c r="A639">
        <v>2025</v>
      </c>
      <c r="B639" t="s">
        <v>5</v>
      </c>
      <c r="C639" t="s">
        <v>9</v>
      </c>
      <c r="D639">
        <v>4</v>
      </c>
      <c r="G639" s="3"/>
      <c r="N639">
        <v>40.35</v>
      </c>
      <c r="O639">
        <v>37.9</v>
      </c>
      <c r="P639">
        <v>20.16</v>
      </c>
      <c r="Q639">
        <v>42.93</v>
      </c>
      <c r="R639">
        <v>28.01</v>
      </c>
      <c r="S639">
        <v>9.2219999999999995</v>
      </c>
    </row>
    <row r="640" spans="1:19">
      <c r="A640">
        <v>2025</v>
      </c>
      <c r="B640" t="s">
        <v>5</v>
      </c>
      <c r="C640" t="s">
        <v>9</v>
      </c>
      <c r="D640">
        <v>4</v>
      </c>
      <c r="G640" s="3"/>
      <c r="N640">
        <v>58.83</v>
      </c>
      <c r="O640">
        <v>16.41</v>
      </c>
      <c r="P640">
        <v>32.590000000000003</v>
      </c>
      <c r="Q640">
        <v>36.49</v>
      </c>
      <c r="R640">
        <v>63.27</v>
      </c>
      <c r="S640">
        <v>8.5280000000000005</v>
      </c>
    </row>
    <row r="641" spans="1:19">
      <c r="A641">
        <v>2025</v>
      </c>
      <c r="B641" t="s">
        <v>5</v>
      </c>
      <c r="C641" t="s">
        <v>9</v>
      </c>
      <c r="D641">
        <v>5</v>
      </c>
      <c r="G641" s="3"/>
      <c r="N641">
        <v>41.57</v>
      </c>
      <c r="O641">
        <v>44.57</v>
      </c>
      <c r="P641">
        <v>25.49</v>
      </c>
      <c r="Q641">
        <v>51.34</v>
      </c>
      <c r="R641">
        <v>29.77</v>
      </c>
      <c r="S641">
        <v>8.1829999999999998</v>
      </c>
    </row>
    <row r="642" spans="1:19">
      <c r="A642">
        <v>2025</v>
      </c>
      <c r="B642" t="s">
        <v>5</v>
      </c>
      <c r="C642" t="s">
        <v>9</v>
      </c>
      <c r="D642">
        <v>5</v>
      </c>
      <c r="G642" s="3"/>
      <c r="N642">
        <v>41.51</v>
      </c>
      <c r="O642">
        <v>44.27</v>
      </c>
      <c r="P642">
        <v>28.6</v>
      </c>
      <c r="Q642">
        <v>52.71</v>
      </c>
      <c r="R642">
        <v>32.86</v>
      </c>
      <c r="S642">
        <v>7.54</v>
      </c>
    </row>
    <row r="643" spans="1:19">
      <c r="A643">
        <v>2025</v>
      </c>
      <c r="B643" t="s">
        <v>5</v>
      </c>
      <c r="C643" t="s">
        <v>9</v>
      </c>
      <c r="D643">
        <v>6</v>
      </c>
      <c r="G643" s="3"/>
      <c r="N643">
        <v>47.79</v>
      </c>
      <c r="O643">
        <v>35.520000000000003</v>
      </c>
      <c r="P643">
        <v>25.12</v>
      </c>
      <c r="Q643">
        <v>43.5</v>
      </c>
      <c r="R643">
        <v>35.270000000000003</v>
      </c>
      <c r="S643">
        <v>8.2690000000000001</v>
      </c>
    </row>
    <row r="644" spans="1:19">
      <c r="A644">
        <v>2025</v>
      </c>
      <c r="B644" t="s">
        <v>5</v>
      </c>
      <c r="C644" t="s">
        <v>9</v>
      </c>
      <c r="D644">
        <v>6</v>
      </c>
      <c r="G644" s="3"/>
      <c r="N644">
        <v>49.99</v>
      </c>
      <c r="O644">
        <v>34.880000000000003</v>
      </c>
      <c r="P644">
        <v>24.82</v>
      </c>
      <c r="Q644">
        <v>42.81</v>
      </c>
      <c r="R644">
        <v>35.44</v>
      </c>
      <c r="S644">
        <v>7.3639999999999999</v>
      </c>
    </row>
    <row r="645" spans="1:19">
      <c r="A645">
        <v>2025</v>
      </c>
      <c r="B645" t="s">
        <v>5</v>
      </c>
      <c r="C645" t="s">
        <v>9</v>
      </c>
      <c r="D645">
        <v>7</v>
      </c>
      <c r="G645" s="3"/>
      <c r="N645">
        <v>31.5</v>
      </c>
      <c r="O645">
        <v>37.03</v>
      </c>
      <c r="P645">
        <v>14.32</v>
      </c>
      <c r="Q645">
        <v>39.700000000000003</v>
      </c>
      <c r="R645">
        <v>21.14</v>
      </c>
      <c r="S645">
        <v>8.1769999999999996</v>
      </c>
    </row>
    <row r="646" spans="1:19">
      <c r="A646">
        <v>2025</v>
      </c>
      <c r="B646" t="s">
        <v>5</v>
      </c>
      <c r="C646" t="s">
        <v>9</v>
      </c>
      <c r="D646">
        <v>7</v>
      </c>
      <c r="G646" s="3"/>
      <c r="N646">
        <v>47.69</v>
      </c>
      <c r="O646">
        <v>44.65</v>
      </c>
      <c r="P646">
        <v>30</v>
      </c>
      <c r="Q646">
        <v>53.8</v>
      </c>
      <c r="R646">
        <v>33.9</v>
      </c>
      <c r="S646">
        <v>7.8520000000000003</v>
      </c>
    </row>
    <row r="647" spans="1:19">
      <c r="A647">
        <v>2025</v>
      </c>
      <c r="B647" t="s">
        <v>5</v>
      </c>
      <c r="C647" t="s">
        <v>9</v>
      </c>
      <c r="D647">
        <v>8</v>
      </c>
      <c r="G647" s="3"/>
      <c r="N647">
        <v>41.15</v>
      </c>
      <c r="O647">
        <v>38.19</v>
      </c>
      <c r="P647">
        <v>22.91</v>
      </c>
      <c r="Q647">
        <v>44.54</v>
      </c>
      <c r="R647">
        <v>30.96</v>
      </c>
      <c r="S647">
        <v>9.9369999999999994</v>
      </c>
    </row>
    <row r="648" spans="1:19">
      <c r="A648">
        <v>2025</v>
      </c>
      <c r="B648" t="s">
        <v>5</v>
      </c>
      <c r="C648" t="s">
        <v>9</v>
      </c>
      <c r="D648">
        <v>8</v>
      </c>
      <c r="G648" s="3"/>
      <c r="N648">
        <v>57.52</v>
      </c>
      <c r="O648">
        <v>18.73</v>
      </c>
      <c r="P648">
        <v>28.01</v>
      </c>
      <c r="Q648">
        <v>33.700000000000003</v>
      </c>
      <c r="R648">
        <v>56.23</v>
      </c>
      <c r="S648">
        <v>10.114000000000001</v>
      </c>
    </row>
    <row r="649" spans="1:19">
      <c r="A649">
        <v>2025</v>
      </c>
      <c r="B649" t="s">
        <v>5</v>
      </c>
      <c r="C649" t="s">
        <v>9</v>
      </c>
      <c r="D649">
        <v>9</v>
      </c>
      <c r="G649" s="3"/>
      <c r="N649">
        <v>39.24</v>
      </c>
      <c r="O649">
        <v>45.89</v>
      </c>
      <c r="P649">
        <v>26</v>
      </c>
      <c r="Q649">
        <v>52.74</v>
      </c>
      <c r="R649">
        <v>29.54</v>
      </c>
      <c r="S649">
        <v>8.1059999999999999</v>
      </c>
    </row>
    <row r="650" spans="1:19">
      <c r="A650">
        <v>2025</v>
      </c>
      <c r="B650" t="s">
        <v>5</v>
      </c>
      <c r="C650" t="s">
        <v>9</v>
      </c>
      <c r="D650">
        <v>9</v>
      </c>
      <c r="G650" s="3"/>
      <c r="N650">
        <v>41.5</v>
      </c>
      <c r="O650">
        <v>40.42</v>
      </c>
      <c r="P650">
        <v>24.4</v>
      </c>
      <c r="Q650">
        <v>47.22</v>
      </c>
      <c r="R650">
        <v>31.12</v>
      </c>
      <c r="S650">
        <v>8.1829999999999998</v>
      </c>
    </row>
    <row r="651" spans="1:19">
      <c r="A651">
        <v>2025</v>
      </c>
      <c r="B651" t="s">
        <v>5</v>
      </c>
      <c r="C651" t="s">
        <v>9</v>
      </c>
      <c r="D651">
        <v>10</v>
      </c>
      <c r="G651" s="3"/>
      <c r="N651">
        <v>36.99</v>
      </c>
      <c r="O651">
        <v>46.53</v>
      </c>
      <c r="P651">
        <v>22.02</v>
      </c>
      <c r="Q651">
        <v>51.47</v>
      </c>
      <c r="R651">
        <v>25.33</v>
      </c>
      <c r="S651">
        <v>7.742</v>
      </c>
    </row>
    <row r="652" spans="1:19">
      <c r="A652">
        <v>2025</v>
      </c>
      <c r="B652" t="s">
        <v>5</v>
      </c>
      <c r="C652" t="s">
        <v>9</v>
      </c>
      <c r="D652">
        <v>10</v>
      </c>
      <c r="G652" s="3"/>
      <c r="N652">
        <v>53.97</v>
      </c>
      <c r="O652">
        <v>35.97</v>
      </c>
      <c r="P652">
        <v>26.61</v>
      </c>
      <c r="Q652">
        <v>44.75</v>
      </c>
      <c r="R652">
        <v>36.49</v>
      </c>
      <c r="S652">
        <v>7.0759999999999996</v>
      </c>
    </row>
    <row r="653" spans="1:19">
      <c r="A653">
        <v>2025</v>
      </c>
      <c r="B653" t="s">
        <v>5</v>
      </c>
      <c r="C653" t="s">
        <v>9</v>
      </c>
      <c r="D653">
        <v>11</v>
      </c>
      <c r="G653" s="3"/>
      <c r="N653">
        <v>47.24</v>
      </c>
      <c r="O653">
        <v>30.14</v>
      </c>
      <c r="P653">
        <v>23.22</v>
      </c>
      <c r="Q653">
        <v>38.049999999999997</v>
      </c>
      <c r="R653">
        <v>37.61</v>
      </c>
      <c r="S653">
        <v>9.8010000000000002</v>
      </c>
    </row>
    <row r="654" spans="1:19">
      <c r="A654">
        <v>2025</v>
      </c>
      <c r="B654" t="s">
        <v>5</v>
      </c>
      <c r="C654" t="s">
        <v>9</v>
      </c>
      <c r="D654">
        <v>11</v>
      </c>
      <c r="G654" s="3"/>
      <c r="N654">
        <v>50.51</v>
      </c>
      <c r="O654">
        <v>30.63</v>
      </c>
      <c r="P654">
        <v>26</v>
      </c>
      <c r="Q654">
        <v>40.17</v>
      </c>
      <c r="R654">
        <v>40.33</v>
      </c>
      <c r="S654">
        <v>10.686999999999999</v>
      </c>
    </row>
    <row r="655" spans="1:19">
      <c r="A655">
        <v>2025</v>
      </c>
      <c r="B655" t="s">
        <v>5</v>
      </c>
      <c r="C655" t="s">
        <v>9</v>
      </c>
      <c r="D655">
        <v>12</v>
      </c>
      <c r="G655" s="3"/>
      <c r="N655">
        <v>38.67</v>
      </c>
      <c r="O655">
        <v>40.590000000000003</v>
      </c>
      <c r="P655">
        <v>21.23</v>
      </c>
      <c r="Q655">
        <v>45.8</v>
      </c>
      <c r="R655">
        <v>27.62</v>
      </c>
      <c r="S655">
        <v>6.6719999999999997</v>
      </c>
    </row>
    <row r="656" spans="1:19">
      <c r="A656">
        <v>2025</v>
      </c>
      <c r="B656" t="s">
        <v>5</v>
      </c>
      <c r="C656" t="s">
        <v>9</v>
      </c>
      <c r="D656">
        <v>12</v>
      </c>
      <c r="G656" s="3"/>
      <c r="N656">
        <v>49.82</v>
      </c>
      <c r="O656">
        <v>27.51</v>
      </c>
      <c r="P656">
        <v>26.54</v>
      </c>
      <c r="Q656">
        <v>38.229999999999997</v>
      </c>
      <c r="R656">
        <v>43.98</v>
      </c>
      <c r="S656">
        <v>6.4219999999999997</v>
      </c>
    </row>
    <row r="657" spans="1:19">
      <c r="A657">
        <v>2025</v>
      </c>
      <c r="B657" t="s">
        <v>5</v>
      </c>
      <c r="C657" t="s">
        <v>9</v>
      </c>
      <c r="D657">
        <v>13</v>
      </c>
      <c r="G657" s="3"/>
      <c r="N657">
        <v>40.39</v>
      </c>
      <c r="O657">
        <v>39.69</v>
      </c>
      <c r="P657">
        <v>19.53</v>
      </c>
      <c r="Q657">
        <v>44.23</v>
      </c>
      <c r="R657">
        <v>26.2</v>
      </c>
      <c r="S657">
        <v>9.5069999999999997</v>
      </c>
    </row>
    <row r="658" spans="1:19">
      <c r="A658">
        <v>2025</v>
      </c>
      <c r="B658" t="s">
        <v>5</v>
      </c>
      <c r="C658" t="s">
        <v>9</v>
      </c>
      <c r="D658">
        <v>13</v>
      </c>
      <c r="G658" s="3"/>
      <c r="N658">
        <v>58.16</v>
      </c>
      <c r="O658">
        <v>22.54</v>
      </c>
      <c r="P658">
        <v>27.13</v>
      </c>
      <c r="Q658">
        <v>35.270000000000003</v>
      </c>
      <c r="R658">
        <v>50.28</v>
      </c>
      <c r="S658">
        <v>9.9939999999999998</v>
      </c>
    </row>
    <row r="659" spans="1:19">
      <c r="A659">
        <v>2025</v>
      </c>
      <c r="B659" t="s">
        <v>5</v>
      </c>
      <c r="C659" t="s">
        <v>9</v>
      </c>
      <c r="D659">
        <v>14</v>
      </c>
      <c r="G659" s="3"/>
      <c r="N659">
        <v>38.15</v>
      </c>
      <c r="O659">
        <v>37.799999999999997</v>
      </c>
      <c r="P659">
        <v>19.8</v>
      </c>
      <c r="Q659">
        <v>42.67</v>
      </c>
      <c r="R659">
        <v>27.65</v>
      </c>
      <c r="S659">
        <v>11.018000000000001</v>
      </c>
    </row>
    <row r="660" spans="1:19">
      <c r="A660">
        <v>2025</v>
      </c>
      <c r="B660" t="s">
        <v>5</v>
      </c>
      <c r="C660" t="s">
        <v>9</v>
      </c>
      <c r="D660">
        <v>14</v>
      </c>
      <c r="G660" s="3"/>
      <c r="N660">
        <v>59.89</v>
      </c>
      <c r="O660">
        <v>20.95</v>
      </c>
      <c r="P660">
        <v>27.19</v>
      </c>
      <c r="Q660">
        <v>34.32</v>
      </c>
      <c r="R660">
        <v>52.38</v>
      </c>
      <c r="S660">
        <v>9.4120000000000008</v>
      </c>
    </row>
    <row r="661" spans="1:19">
      <c r="A661">
        <v>2025</v>
      </c>
      <c r="B661" t="s">
        <v>5</v>
      </c>
      <c r="C661" t="s">
        <v>9</v>
      </c>
      <c r="D661">
        <v>15</v>
      </c>
      <c r="G661" s="3"/>
      <c r="N661">
        <v>49.97</v>
      </c>
      <c r="O661">
        <v>32.14</v>
      </c>
      <c r="P661">
        <v>25.46</v>
      </c>
      <c r="Q661">
        <v>41</v>
      </c>
      <c r="R661">
        <v>38.39</v>
      </c>
      <c r="S661">
        <v>10.987</v>
      </c>
    </row>
    <row r="662" spans="1:19">
      <c r="A662">
        <v>2025</v>
      </c>
      <c r="B662" t="s">
        <v>5</v>
      </c>
      <c r="C662" t="s">
        <v>9</v>
      </c>
      <c r="D662">
        <v>15</v>
      </c>
      <c r="G662" s="3"/>
      <c r="N662">
        <v>43.74</v>
      </c>
      <c r="O662">
        <v>37.64</v>
      </c>
      <c r="P662">
        <v>25.27</v>
      </c>
      <c r="Q662">
        <v>45.34</v>
      </c>
      <c r="R662">
        <v>33.880000000000003</v>
      </c>
      <c r="S662">
        <v>11.766999999999999</v>
      </c>
    </row>
    <row r="663" spans="1:19">
      <c r="A663">
        <v>2025</v>
      </c>
      <c r="B663" t="s">
        <v>5</v>
      </c>
      <c r="C663" t="s">
        <v>7</v>
      </c>
      <c r="D663">
        <v>1</v>
      </c>
      <c r="G663" s="3"/>
      <c r="N663">
        <v>44.24</v>
      </c>
      <c r="O663">
        <v>42.92</v>
      </c>
      <c r="P663">
        <v>26.25</v>
      </c>
      <c r="Q663">
        <v>50.31</v>
      </c>
      <c r="R663">
        <v>31.45</v>
      </c>
      <c r="S663">
        <v>8.891</v>
      </c>
    </row>
    <row r="664" spans="1:19">
      <c r="A664">
        <v>2025</v>
      </c>
      <c r="B664" t="s">
        <v>5</v>
      </c>
      <c r="C664" t="s">
        <v>7</v>
      </c>
      <c r="D664">
        <v>1</v>
      </c>
      <c r="G664" s="3"/>
      <c r="N664">
        <v>63.94</v>
      </c>
      <c r="O664">
        <v>22.82</v>
      </c>
      <c r="P664">
        <v>30.66</v>
      </c>
      <c r="Q664">
        <v>38.22</v>
      </c>
      <c r="R664">
        <v>53.35</v>
      </c>
      <c r="S664">
        <v>9.1850000000000005</v>
      </c>
    </row>
    <row r="665" spans="1:19">
      <c r="A665">
        <v>2025</v>
      </c>
      <c r="B665" t="s">
        <v>5</v>
      </c>
      <c r="C665" t="s">
        <v>7</v>
      </c>
      <c r="D665">
        <v>2</v>
      </c>
      <c r="G665" s="3"/>
      <c r="N665">
        <v>38.07</v>
      </c>
      <c r="O665">
        <v>41.79</v>
      </c>
      <c r="P665">
        <v>21.17</v>
      </c>
      <c r="Q665">
        <v>46.85</v>
      </c>
      <c r="R665">
        <v>26.87</v>
      </c>
      <c r="S665">
        <v>9.532</v>
      </c>
    </row>
    <row r="666" spans="1:19">
      <c r="A666">
        <v>2025</v>
      </c>
      <c r="B666" t="s">
        <v>5</v>
      </c>
      <c r="C666" t="s">
        <v>7</v>
      </c>
      <c r="D666">
        <v>2</v>
      </c>
      <c r="G666" s="3"/>
      <c r="N666">
        <v>48.79</v>
      </c>
      <c r="O666">
        <v>41.9</v>
      </c>
      <c r="P666">
        <v>29.46</v>
      </c>
      <c r="Q666">
        <v>51.22</v>
      </c>
      <c r="R666">
        <v>35.119999999999997</v>
      </c>
      <c r="S666">
        <v>9.5760000000000005</v>
      </c>
    </row>
    <row r="667" spans="1:19">
      <c r="A667">
        <v>2025</v>
      </c>
      <c r="B667" t="s">
        <v>5</v>
      </c>
      <c r="C667" t="s">
        <v>7</v>
      </c>
      <c r="D667">
        <v>3</v>
      </c>
      <c r="G667" s="3"/>
      <c r="N667">
        <v>51.77</v>
      </c>
      <c r="O667">
        <v>32.369999999999997</v>
      </c>
      <c r="P667">
        <v>25.07</v>
      </c>
      <c r="Q667">
        <v>40.94</v>
      </c>
      <c r="R667">
        <v>37.76</v>
      </c>
      <c r="S667">
        <v>10.714</v>
      </c>
    </row>
    <row r="668" spans="1:19">
      <c r="A668">
        <v>2025</v>
      </c>
      <c r="B668" t="s">
        <v>5</v>
      </c>
      <c r="C668" t="s">
        <v>7</v>
      </c>
      <c r="D668">
        <v>3</v>
      </c>
      <c r="G668" s="3"/>
      <c r="N668">
        <v>76.84</v>
      </c>
      <c r="O668">
        <v>-13.08</v>
      </c>
      <c r="P668">
        <v>42.69</v>
      </c>
      <c r="Q668">
        <v>44.64</v>
      </c>
      <c r="R668">
        <v>107.03</v>
      </c>
      <c r="S668">
        <v>10.906000000000001</v>
      </c>
    </row>
    <row r="669" spans="1:19">
      <c r="A669">
        <v>2025</v>
      </c>
      <c r="B669" t="s">
        <v>5</v>
      </c>
      <c r="C669" t="s">
        <v>7</v>
      </c>
      <c r="D669">
        <v>4</v>
      </c>
      <c r="G669" s="3"/>
      <c r="N669">
        <v>41.71</v>
      </c>
      <c r="O669">
        <v>40.07</v>
      </c>
      <c r="P669">
        <v>22.7</v>
      </c>
      <c r="Q669">
        <v>46.05</v>
      </c>
      <c r="R669">
        <v>29.54</v>
      </c>
      <c r="S669">
        <v>7.7839999999999998</v>
      </c>
    </row>
    <row r="670" spans="1:19">
      <c r="A670">
        <v>2025</v>
      </c>
      <c r="B670" t="s">
        <v>5</v>
      </c>
      <c r="C670" t="s">
        <v>7</v>
      </c>
      <c r="D670">
        <v>4</v>
      </c>
      <c r="G670" s="3"/>
      <c r="N670">
        <v>56.52</v>
      </c>
      <c r="O670">
        <v>29.25</v>
      </c>
      <c r="P670">
        <v>27.95</v>
      </c>
      <c r="Q670">
        <v>40.450000000000003</v>
      </c>
      <c r="R670">
        <v>43.7</v>
      </c>
      <c r="S670">
        <v>8.1950000000000003</v>
      </c>
    </row>
    <row r="671" spans="1:19">
      <c r="A671">
        <v>2025</v>
      </c>
      <c r="B671" t="s">
        <v>5</v>
      </c>
      <c r="C671" t="s">
        <v>7</v>
      </c>
      <c r="D671">
        <v>5</v>
      </c>
      <c r="G671" s="3"/>
      <c r="N671">
        <v>35.840000000000003</v>
      </c>
      <c r="O671">
        <v>45.82</v>
      </c>
      <c r="P671">
        <v>24.39</v>
      </c>
      <c r="Q671">
        <v>51.9</v>
      </c>
      <c r="R671">
        <v>28.03</v>
      </c>
      <c r="S671">
        <v>8.1010000000000009</v>
      </c>
    </row>
    <row r="672" spans="1:19">
      <c r="A672">
        <v>2025</v>
      </c>
      <c r="B672" t="s">
        <v>5</v>
      </c>
      <c r="C672" t="s">
        <v>7</v>
      </c>
      <c r="D672">
        <v>5</v>
      </c>
      <c r="G672" s="3"/>
      <c r="N672">
        <v>42.1</v>
      </c>
      <c r="O672">
        <v>41.8</v>
      </c>
      <c r="P672">
        <v>23.08</v>
      </c>
      <c r="Q672">
        <v>47.75</v>
      </c>
      <c r="R672">
        <v>28.91</v>
      </c>
      <c r="S672">
        <v>8.6280000000000001</v>
      </c>
    </row>
    <row r="673" spans="1:19">
      <c r="A673">
        <v>2025</v>
      </c>
      <c r="B673" t="s">
        <v>5</v>
      </c>
      <c r="C673" t="s">
        <v>7</v>
      </c>
      <c r="D673">
        <v>6</v>
      </c>
      <c r="G673" s="3"/>
      <c r="N673">
        <v>41.35</v>
      </c>
      <c r="O673">
        <v>43.32</v>
      </c>
      <c r="P673">
        <v>24.45</v>
      </c>
      <c r="Q673">
        <v>49.74</v>
      </c>
      <c r="R673">
        <v>29.44</v>
      </c>
      <c r="S673">
        <v>11.798999999999999</v>
      </c>
    </row>
    <row r="674" spans="1:19">
      <c r="A674">
        <v>2025</v>
      </c>
      <c r="B674" t="s">
        <v>5</v>
      </c>
      <c r="C674" t="s">
        <v>7</v>
      </c>
      <c r="D674">
        <v>6</v>
      </c>
      <c r="G674" s="3"/>
      <c r="N674">
        <v>62.49</v>
      </c>
      <c r="O674">
        <v>25.81</v>
      </c>
      <c r="P674">
        <v>29.87</v>
      </c>
      <c r="Q674">
        <v>39.47</v>
      </c>
      <c r="R674">
        <v>49.17</v>
      </c>
      <c r="S674">
        <v>11.769</v>
      </c>
    </row>
    <row r="675" spans="1:19">
      <c r="A675">
        <v>2025</v>
      </c>
      <c r="B675" t="s">
        <v>5</v>
      </c>
      <c r="C675" t="s">
        <v>7</v>
      </c>
      <c r="D675">
        <v>7</v>
      </c>
      <c r="G675" s="3"/>
      <c r="N675">
        <v>42.08</v>
      </c>
      <c r="O675">
        <v>44.58</v>
      </c>
      <c r="P675">
        <v>25.76</v>
      </c>
      <c r="Q675">
        <v>51.49</v>
      </c>
      <c r="R675">
        <v>30.02</v>
      </c>
      <c r="S675">
        <v>8.1020000000000003</v>
      </c>
    </row>
    <row r="676" spans="1:19">
      <c r="A676">
        <v>2025</v>
      </c>
      <c r="B676" t="s">
        <v>5</v>
      </c>
      <c r="C676" t="s">
        <v>7</v>
      </c>
      <c r="D676">
        <v>7</v>
      </c>
      <c r="G676" s="3"/>
      <c r="N676">
        <v>60.02</v>
      </c>
      <c r="O676">
        <v>29.44</v>
      </c>
      <c r="P676">
        <v>26.28</v>
      </c>
      <c r="Q676">
        <v>39.46</v>
      </c>
      <c r="R676">
        <v>41.75</v>
      </c>
      <c r="S676">
        <v>8.6969999999999992</v>
      </c>
    </row>
    <row r="677" spans="1:19">
      <c r="A677">
        <v>2025</v>
      </c>
      <c r="B677" t="s">
        <v>5</v>
      </c>
      <c r="C677" t="s">
        <v>7</v>
      </c>
      <c r="D677">
        <v>8</v>
      </c>
      <c r="G677" s="3"/>
      <c r="N677">
        <v>53.82</v>
      </c>
      <c r="O677">
        <v>38.46</v>
      </c>
      <c r="P677">
        <v>26.48</v>
      </c>
      <c r="Q677">
        <v>46.69</v>
      </c>
      <c r="R677">
        <v>34.549999999999997</v>
      </c>
      <c r="S677">
        <v>8.8019999999999996</v>
      </c>
    </row>
    <row r="678" spans="1:19">
      <c r="A678">
        <v>2025</v>
      </c>
      <c r="B678" t="s">
        <v>5</v>
      </c>
      <c r="C678" t="s">
        <v>7</v>
      </c>
      <c r="D678">
        <v>8</v>
      </c>
      <c r="G678" s="3"/>
      <c r="N678">
        <v>46.6</v>
      </c>
      <c r="O678">
        <v>37.450000000000003</v>
      </c>
      <c r="P678">
        <v>23.96</v>
      </c>
      <c r="Q678">
        <v>44.46</v>
      </c>
      <c r="R678">
        <v>32.61</v>
      </c>
      <c r="S678">
        <v>10.044</v>
      </c>
    </row>
    <row r="679" spans="1:19">
      <c r="A679">
        <v>2025</v>
      </c>
      <c r="B679" t="s">
        <v>5</v>
      </c>
      <c r="C679" t="s">
        <v>7</v>
      </c>
      <c r="D679">
        <v>9</v>
      </c>
      <c r="G679" s="3"/>
      <c r="N679">
        <v>39.76</v>
      </c>
      <c r="O679">
        <v>47.04</v>
      </c>
      <c r="P679">
        <v>25.95</v>
      </c>
      <c r="Q679">
        <v>53.72</v>
      </c>
      <c r="R679">
        <v>28.89</v>
      </c>
      <c r="S679">
        <v>9.9329999999999998</v>
      </c>
    </row>
    <row r="680" spans="1:19">
      <c r="A680">
        <v>2025</v>
      </c>
      <c r="B680" t="s">
        <v>5</v>
      </c>
      <c r="C680" t="s">
        <v>7</v>
      </c>
      <c r="D680">
        <v>9</v>
      </c>
      <c r="G680" s="3"/>
      <c r="N680">
        <v>65.97</v>
      </c>
      <c r="O680">
        <v>13.8</v>
      </c>
      <c r="P680">
        <v>29.95</v>
      </c>
      <c r="Q680">
        <v>32.979999999999997</v>
      </c>
      <c r="R680">
        <v>65.260000000000005</v>
      </c>
      <c r="S680">
        <v>8.9640000000000004</v>
      </c>
    </row>
    <row r="681" spans="1:19">
      <c r="A681">
        <v>2025</v>
      </c>
      <c r="B681" t="s">
        <v>5</v>
      </c>
      <c r="C681" t="s">
        <v>7</v>
      </c>
      <c r="D681">
        <v>10</v>
      </c>
      <c r="G681" s="3"/>
      <c r="N681">
        <v>40.06</v>
      </c>
      <c r="O681">
        <v>42.63</v>
      </c>
      <c r="P681">
        <v>22.06</v>
      </c>
      <c r="Q681">
        <v>48</v>
      </c>
      <c r="R681">
        <v>27.36</v>
      </c>
      <c r="S681">
        <v>8.7059999999999995</v>
      </c>
    </row>
    <row r="682" spans="1:19">
      <c r="A682">
        <v>2025</v>
      </c>
      <c r="B682" t="s">
        <v>5</v>
      </c>
      <c r="C682" t="s">
        <v>7</v>
      </c>
      <c r="D682">
        <v>10</v>
      </c>
      <c r="G682" s="3"/>
      <c r="N682">
        <v>48.56</v>
      </c>
      <c r="O682">
        <v>44.34</v>
      </c>
      <c r="P682">
        <v>30.28</v>
      </c>
      <c r="Q682">
        <v>53.69</v>
      </c>
      <c r="R682">
        <v>34.33</v>
      </c>
      <c r="S682">
        <v>8.0630000000000006</v>
      </c>
    </row>
    <row r="683" spans="1:19">
      <c r="A683">
        <v>2025</v>
      </c>
      <c r="B683" t="s">
        <v>5</v>
      </c>
      <c r="C683" t="s">
        <v>7</v>
      </c>
      <c r="D683">
        <v>11</v>
      </c>
      <c r="G683" s="3"/>
      <c r="N683">
        <v>39.880000000000003</v>
      </c>
      <c r="O683">
        <v>46.86</v>
      </c>
      <c r="P683">
        <v>25.05</v>
      </c>
      <c r="Q683">
        <v>53.13</v>
      </c>
      <c r="R683">
        <v>28.12</v>
      </c>
      <c r="S683">
        <v>9.3759999999999994</v>
      </c>
    </row>
    <row r="684" spans="1:19">
      <c r="A684">
        <v>2025</v>
      </c>
      <c r="B684" t="s">
        <v>5</v>
      </c>
      <c r="C684" t="s">
        <v>7</v>
      </c>
      <c r="D684">
        <v>11</v>
      </c>
      <c r="G684" s="3"/>
      <c r="N684">
        <v>46.58</v>
      </c>
      <c r="O684">
        <v>43.28</v>
      </c>
      <c r="P684">
        <v>30.47</v>
      </c>
      <c r="Q684">
        <v>52.93</v>
      </c>
      <c r="R684">
        <v>35.14</v>
      </c>
      <c r="S684">
        <v>8.5269999999999992</v>
      </c>
    </row>
    <row r="685" spans="1:19">
      <c r="A685">
        <v>2025</v>
      </c>
      <c r="B685" t="s">
        <v>5</v>
      </c>
      <c r="C685" t="s">
        <v>7</v>
      </c>
      <c r="D685">
        <v>12</v>
      </c>
      <c r="G685" s="3"/>
      <c r="N685">
        <v>37.99</v>
      </c>
      <c r="O685">
        <v>37.39</v>
      </c>
      <c r="P685">
        <v>16.989999999999998</v>
      </c>
      <c r="Q685">
        <v>41.07</v>
      </c>
      <c r="R685">
        <v>24.44</v>
      </c>
      <c r="S685">
        <v>8.4130000000000003</v>
      </c>
    </row>
    <row r="686" spans="1:19">
      <c r="A686">
        <v>2025</v>
      </c>
      <c r="B686" t="s">
        <v>5</v>
      </c>
      <c r="C686" t="s">
        <v>7</v>
      </c>
      <c r="D686">
        <v>12</v>
      </c>
      <c r="G686" s="3"/>
      <c r="N686">
        <v>34.53</v>
      </c>
      <c r="O686">
        <v>42.82</v>
      </c>
      <c r="P686">
        <v>20.149999999999999</v>
      </c>
      <c r="Q686">
        <v>47.32</v>
      </c>
      <c r="R686">
        <v>25.19</v>
      </c>
      <c r="S686">
        <v>6.8449999999999998</v>
      </c>
    </row>
    <row r="687" spans="1:19">
      <c r="A687">
        <v>2025</v>
      </c>
      <c r="B687" t="s">
        <v>5</v>
      </c>
      <c r="C687" t="s">
        <v>7</v>
      </c>
      <c r="D687">
        <v>13</v>
      </c>
      <c r="G687" s="3"/>
      <c r="N687">
        <v>37.049999999999997</v>
      </c>
      <c r="O687">
        <v>39.76</v>
      </c>
      <c r="P687">
        <v>18.8</v>
      </c>
      <c r="Q687">
        <v>43.98</v>
      </c>
      <c r="R687">
        <v>25.31</v>
      </c>
      <c r="S687">
        <v>8.7520000000000007</v>
      </c>
    </row>
    <row r="688" spans="1:19">
      <c r="A688">
        <v>2025</v>
      </c>
      <c r="B688" t="s">
        <v>5</v>
      </c>
      <c r="C688" t="s">
        <v>7</v>
      </c>
      <c r="D688">
        <v>13</v>
      </c>
      <c r="G688" s="3"/>
      <c r="N688">
        <v>57.21</v>
      </c>
      <c r="O688">
        <v>33.58</v>
      </c>
      <c r="P688">
        <v>31.86</v>
      </c>
      <c r="Q688">
        <v>46.29</v>
      </c>
      <c r="R688">
        <v>43.5</v>
      </c>
      <c r="S688">
        <v>7.59</v>
      </c>
    </row>
    <row r="689" spans="1:19">
      <c r="A689">
        <v>2025</v>
      </c>
      <c r="B689" t="s">
        <v>5</v>
      </c>
      <c r="C689" t="s">
        <v>7</v>
      </c>
      <c r="D689">
        <v>14</v>
      </c>
      <c r="G689" s="3"/>
      <c r="N689">
        <v>32.380000000000003</v>
      </c>
      <c r="O689">
        <v>44.41</v>
      </c>
      <c r="P689">
        <v>19.66</v>
      </c>
      <c r="Q689">
        <v>48.57</v>
      </c>
      <c r="R689">
        <v>23.88</v>
      </c>
      <c r="S689">
        <v>9.3719999999999999</v>
      </c>
    </row>
    <row r="690" spans="1:19">
      <c r="A690">
        <v>2025</v>
      </c>
      <c r="B690" t="s">
        <v>5</v>
      </c>
      <c r="C690" t="s">
        <v>7</v>
      </c>
      <c r="D690">
        <v>14</v>
      </c>
      <c r="G690" s="3"/>
      <c r="N690">
        <v>37.78</v>
      </c>
      <c r="O690">
        <v>46.33</v>
      </c>
      <c r="P690">
        <v>25.55</v>
      </c>
      <c r="Q690">
        <v>52.9</v>
      </c>
      <c r="R690">
        <v>28.88</v>
      </c>
      <c r="S690">
        <v>10.651999999999999</v>
      </c>
    </row>
    <row r="691" spans="1:19">
      <c r="A691">
        <v>2025</v>
      </c>
      <c r="B691" t="s">
        <v>5</v>
      </c>
      <c r="C691" t="s">
        <v>7</v>
      </c>
      <c r="D691">
        <v>15</v>
      </c>
      <c r="G691" s="3"/>
      <c r="N691">
        <v>43.66</v>
      </c>
      <c r="O691">
        <v>43.55</v>
      </c>
      <c r="P691">
        <v>24.91</v>
      </c>
      <c r="Q691">
        <v>50.17</v>
      </c>
      <c r="R691">
        <v>29.77</v>
      </c>
      <c r="S691">
        <v>7.8710000000000004</v>
      </c>
    </row>
    <row r="692" spans="1:19">
      <c r="A692">
        <v>2025</v>
      </c>
      <c r="B692" t="s">
        <v>5</v>
      </c>
      <c r="C692" t="s">
        <v>7</v>
      </c>
      <c r="D692">
        <v>15</v>
      </c>
      <c r="G692" s="3"/>
      <c r="N692">
        <v>58.42</v>
      </c>
      <c r="O692">
        <v>33.869999999999997</v>
      </c>
      <c r="P692">
        <v>27.39</v>
      </c>
      <c r="Q692">
        <v>43.56</v>
      </c>
      <c r="R692">
        <v>38.96</v>
      </c>
      <c r="S692">
        <v>8.1379999999999999</v>
      </c>
    </row>
    <row r="693" spans="1:19">
      <c r="A693">
        <v>2025</v>
      </c>
      <c r="B693" t="s">
        <v>5</v>
      </c>
      <c r="C693" t="s">
        <v>6</v>
      </c>
      <c r="D693">
        <v>1</v>
      </c>
      <c r="G693" s="3"/>
      <c r="N693">
        <v>39.53</v>
      </c>
      <c r="O693">
        <v>40.82</v>
      </c>
      <c r="P693">
        <v>23.03</v>
      </c>
      <c r="Q693">
        <v>46.87</v>
      </c>
      <c r="R693">
        <v>29.43</v>
      </c>
      <c r="S693">
        <v>7.8579999999999997</v>
      </c>
    </row>
    <row r="694" spans="1:19">
      <c r="A694">
        <v>2025</v>
      </c>
      <c r="B694" t="s">
        <v>5</v>
      </c>
      <c r="C694" t="s">
        <v>6</v>
      </c>
      <c r="D694">
        <v>1</v>
      </c>
      <c r="G694" s="3"/>
      <c r="N694">
        <v>42.79</v>
      </c>
      <c r="O694">
        <v>42.61</v>
      </c>
      <c r="P694">
        <v>26.08</v>
      </c>
      <c r="Q694">
        <v>49.96</v>
      </c>
      <c r="R694">
        <v>31.47</v>
      </c>
      <c r="S694">
        <v>8.9740000000000002</v>
      </c>
    </row>
    <row r="695" spans="1:19">
      <c r="A695">
        <v>2025</v>
      </c>
      <c r="B695" t="s">
        <v>5</v>
      </c>
      <c r="C695" t="s">
        <v>6</v>
      </c>
      <c r="D695">
        <v>2</v>
      </c>
      <c r="G695" s="3"/>
      <c r="N695">
        <v>44.58</v>
      </c>
      <c r="O695">
        <v>39.14</v>
      </c>
      <c r="P695">
        <v>21.62</v>
      </c>
      <c r="Q695">
        <v>44.71</v>
      </c>
      <c r="R695">
        <v>28.92</v>
      </c>
      <c r="S695">
        <v>8.3070000000000004</v>
      </c>
    </row>
    <row r="696" spans="1:19">
      <c r="A696">
        <v>2025</v>
      </c>
      <c r="B696" t="s">
        <v>5</v>
      </c>
      <c r="C696" t="s">
        <v>6</v>
      </c>
      <c r="D696">
        <v>2</v>
      </c>
      <c r="G696" s="3"/>
      <c r="N696">
        <v>50.12</v>
      </c>
      <c r="O696">
        <v>39.57</v>
      </c>
      <c r="P696">
        <v>23.3</v>
      </c>
      <c r="Q696">
        <v>45.92</v>
      </c>
      <c r="R696">
        <v>30.49</v>
      </c>
      <c r="S696">
        <v>9.3330000000000002</v>
      </c>
    </row>
    <row r="697" spans="1:19">
      <c r="A697">
        <v>2025</v>
      </c>
      <c r="B697" t="s">
        <v>5</v>
      </c>
      <c r="C697" t="s">
        <v>6</v>
      </c>
      <c r="D697">
        <v>3</v>
      </c>
      <c r="G697" s="3"/>
      <c r="N697">
        <v>40.04</v>
      </c>
      <c r="O697">
        <v>38.590000000000003</v>
      </c>
      <c r="P697">
        <v>21.15</v>
      </c>
      <c r="Q697">
        <v>44.01</v>
      </c>
      <c r="R697">
        <v>28.72</v>
      </c>
      <c r="S697">
        <v>9.3469999999999995</v>
      </c>
    </row>
    <row r="698" spans="1:19">
      <c r="A698">
        <v>2025</v>
      </c>
      <c r="B698" t="s">
        <v>5</v>
      </c>
      <c r="C698" t="s">
        <v>6</v>
      </c>
      <c r="D698">
        <v>3</v>
      </c>
      <c r="G698" s="3"/>
      <c r="N698">
        <v>44.89</v>
      </c>
      <c r="O698">
        <v>36.51</v>
      </c>
      <c r="P698">
        <v>20.9</v>
      </c>
      <c r="Q698">
        <v>42.07</v>
      </c>
      <c r="R698">
        <v>29.79</v>
      </c>
      <c r="S698">
        <v>9.6329999999999991</v>
      </c>
    </row>
    <row r="699" spans="1:19">
      <c r="A699">
        <v>2025</v>
      </c>
      <c r="B699" t="s">
        <v>5</v>
      </c>
      <c r="C699" t="s">
        <v>6</v>
      </c>
      <c r="D699">
        <v>4</v>
      </c>
      <c r="G699" s="3"/>
      <c r="N699">
        <v>28.38</v>
      </c>
      <c r="O699">
        <v>43.74</v>
      </c>
      <c r="P699">
        <v>19.75</v>
      </c>
      <c r="Q699">
        <v>47.99</v>
      </c>
      <c r="R699">
        <v>24.3</v>
      </c>
      <c r="S699">
        <v>7.2549999999999999</v>
      </c>
    </row>
    <row r="700" spans="1:19">
      <c r="A700">
        <v>2025</v>
      </c>
      <c r="B700" t="s">
        <v>5</v>
      </c>
      <c r="C700" t="s">
        <v>6</v>
      </c>
      <c r="D700">
        <v>4</v>
      </c>
      <c r="G700" s="3"/>
      <c r="N700">
        <v>52.96</v>
      </c>
      <c r="O700">
        <v>34.729999999999997</v>
      </c>
      <c r="P700">
        <v>26.8</v>
      </c>
      <c r="Q700">
        <v>43.87</v>
      </c>
      <c r="R700">
        <v>37.65</v>
      </c>
      <c r="S700">
        <v>6.984</v>
      </c>
    </row>
    <row r="701" spans="1:19">
      <c r="A701">
        <v>2025</v>
      </c>
      <c r="B701" t="s">
        <v>5</v>
      </c>
      <c r="C701" t="s">
        <v>6</v>
      </c>
      <c r="D701">
        <v>5</v>
      </c>
      <c r="G701" s="3"/>
      <c r="N701">
        <v>31.72</v>
      </c>
      <c r="O701">
        <v>45.67</v>
      </c>
      <c r="P701">
        <v>21.67</v>
      </c>
      <c r="Q701">
        <v>50.55</v>
      </c>
      <c r="R701">
        <v>25.39</v>
      </c>
      <c r="S701">
        <v>9.8490000000000002</v>
      </c>
    </row>
    <row r="702" spans="1:19">
      <c r="A702">
        <v>2025</v>
      </c>
      <c r="B702" t="s">
        <v>5</v>
      </c>
      <c r="C702" t="s">
        <v>6</v>
      </c>
      <c r="D702">
        <v>5</v>
      </c>
      <c r="G702" s="3"/>
      <c r="N702">
        <v>59.41</v>
      </c>
      <c r="O702">
        <v>26.01</v>
      </c>
      <c r="P702">
        <v>27.85</v>
      </c>
      <c r="Q702">
        <v>38.11</v>
      </c>
      <c r="R702">
        <v>46.95</v>
      </c>
      <c r="S702">
        <v>10.208</v>
      </c>
    </row>
    <row r="703" spans="1:19">
      <c r="A703">
        <v>2025</v>
      </c>
      <c r="B703" t="s">
        <v>5</v>
      </c>
      <c r="C703" t="s">
        <v>6</v>
      </c>
      <c r="D703">
        <v>6</v>
      </c>
      <c r="G703" s="3"/>
      <c r="N703">
        <v>41.3</v>
      </c>
      <c r="O703">
        <v>40.450000000000003</v>
      </c>
      <c r="P703">
        <v>23.3</v>
      </c>
      <c r="Q703">
        <v>46.68</v>
      </c>
      <c r="R703">
        <v>29.95</v>
      </c>
      <c r="S703">
        <v>8.7089999999999996</v>
      </c>
    </row>
    <row r="704" spans="1:19">
      <c r="A704">
        <v>2025</v>
      </c>
      <c r="B704" t="s">
        <v>5</v>
      </c>
      <c r="C704" t="s">
        <v>6</v>
      </c>
      <c r="D704">
        <v>6</v>
      </c>
      <c r="G704" s="3"/>
      <c r="N704">
        <v>62.73</v>
      </c>
      <c r="O704">
        <v>14.25</v>
      </c>
      <c r="P704">
        <v>29.71</v>
      </c>
      <c r="Q704">
        <v>32.950000000000003</v>
      </c>
      <c r="R704">
        <v>64.38</v>
      </c>
      <c r="S704">
        <v>8.3949999999999996</v>
      </c>
    </row>
    <row r="705" spans="1:19">
      <c r="A705">
        <v>2025</v>
      </c>
      <c r="B705" t="s">
        <v>5</v>
      </c>
      <c r="C705" t="s">
        <v>6</v>
      </c>
      <c r="D705">
        <v>7</v>
      </c>
      <c r="G705" s="3"/>
      <c r="N705">
        <v>34.18</v>
      </c>
      <c r="O705">
        <v>42.69</v>
      </c>
      <c r="P705">
        <v>21.49</v>
      </c>
      <c r="Q705">
        <v>47.79</v>
      </c>
      <c r="R705">
        <v>26.72</v>
      </c>
      <c r="S705">
        <v>8.8279999999999994</v>
      </c>
    </row>
    <row r="706" spans="1:19">
      <c r="A706">
        <v>2025</v>
      </c>
      <c r="B706" t="s">
        <v>5</v>
      </c>
      <c r="C706" t="s">
        <v>6</v>
      </c>
      <c r="D706">
        <v>7</v>
      </c>
      <c r="G706" s="3"/>
      <c r="N706">
        <v>41.77</v>
      </c>
      <c r="O706">
        <v>44.88</v>
      </c>
      <c r="P706">
        <v>27.38</v>
      </c>
      <c r="Q706">
        <v>52.57</v>
      </c>
      <c r="R706">
        <v>31.39</v>
      </c>
      <c r="S706">
        <v>9.3930000000000007</v>
      </c>
    </row>
    <row r="707" spans="1:19">
      <c r="A707">
        <v>2025</v>
      </c>
      <c r="B707" t="s">
        <v>5</v>
      </c>
      <c r="C707" t="s">
        <v>6</v>
      </c>
      <c r="D707">
        <v>8</v>
      </c>
      <c r="G707" s="3"/>
      <c r="N707">
        <v>36.36</v>
      </c>
      <c r="O707">
        <v>39.869999999999997</v>
      </c>
      <c r="P707">
        <v>19.760000000000002</v>
      </c>
      <c r="Q707">
        <v>44.5</v>
      </c>
      <c r="R707">
        <v>26.36</v>
      </c>
      <c r="S707">
        <v>9.5950000000000006</v>
      </c>
    </row>
    <row r="708" spans="1:19">
      <c r="A708">
        <v>2025</v>
      </c>
      <c r="B708" t="s">
        <v>5</v>
      </c>
      <c r="C708" t="s">
        <v>6</v>
      </c>
      <c r="D708">
        <v>8</v>
      </c>
      <c r="G708" s="3"/>
      <c r="N708">
        <v>57.92</v>
      </c>
      <c r="O708">
        <v>25.86</v>
      </c>
      <c r="P708">
        <v>29.74</v>
      </c>
      <c r="Q708">
        <v>39.409999999999997</v>
      </c>
      <c r="R708">
        <v>48.99</v>
      </c>
      <c r="S708">
        <v>9.9629999999999992</v>
      </c>
    </row>
    <row r="709" spans="1:19">
      <c r="A709">
        <v>2025</v>
      </c>
      <c r="B709" t="s">
        <v>5</v>
      </c>
      <c r="C709" t="s">
        <v>6</v>
      </c>
      <c r="D709">
        <v>9</v>
      </c>
      <c r="G709" s="3"/>
      <c r="N709">
        <v>38.869999999999997</v>
      </c>
      <c r="O709">
        <v>39.14</v>
      </c>
      <c r="P709">
        <v>19.78</v>
      </c>
      <c r="Q709">
        <v>43.85</v>
      </c>
      <c r="R709">
        <v>26.81</v>
      </c>
      <c r="S709">
        <v>9.5640000000000001</v>
      </c>
    </row>
    <row r="710" spans="1:19">
      <c r="A710">
        <v>2025</v>
      </c>
      <c r="B710" t="s">
        <v>5</v>
      </c>
      <c r="C710" t="s">
        <v>6</v>
      </c>
      <c r="D710">
        <v>9</v>
      </c>
      <c r="G710" s="3"/>
      <c r="N710">
        <v>46.72</v>
      </c>
      <c r="O710">
        <v>35.57</v>
      </c>
      <c r="P710">
        <v>23.68</v>
      </c>
      <c r="Q710">
        <v>42.73</v>
      </c>
      <c r="R710">
        <v>33.65</v>
      </c>
      <c r="S710">
        <v>10.398999999999999</v>
      </c>
    </row>
    <row r="711" spans="1:19">
      <c r="A711">
        <v>2025</v>
      </c>
      <c r="B711" t="s">
        <v>5</v>
      </c>
      <c r="C711" t="s">
        <v>6</v>
      </c>
      <c r="D711">
        <v>10</v>
      </c>
      <c r="G711" s="3"/>
      <c r="N711">
        <v>39.78</v>
      </c>
      <c r="O711">
        <v>40.83</v>
      </c>
      <c r="P711">
        <v>23.19</v>
      </c>
      <c r="Q711">
        <v>46.96</v>
      </c>
      <c r="R711">
        <v>29.6</v>
      </c>
      <c r="S711">
        <v>9.4109999999999996</v>
      </c>
    </row>
    <row r="712" spans="1:19">
      <c r="A712">
        <v>2025</v>
      </c>
      <c r="B712" t="s">
        <v>5</v>
      </c>
      <c r="C712" t="s">
        <v>6</v>
      </c>
      <c r="D712">
        <v>10</v>
      </c>
      <c r="G712" s="3"/>
      <c r="N712">
        <v>62.39</v>
      </c>
      <c r="O712">
        <v>19.170000000000002</v>
      </c>
      <c r="P712">
        <v>28.91</v>
      </c>
      <c r="Q712">
        <v>34.68</v>
      </c>
      <c r="R712">
        <v>56.45</v>
      </c>
      <c r="S712">
        <v>9.109</v>
      </c>
    </row>
    <row r="713" spans="1:19">
      <c r="A713">
        <v>2025</v>
      </c>
      <c r="B713" t="s">
        <v>5</v>
      </c>
      <c r="C713" t="s">
        <v>6</v>
      </c>
      <c r="D713">
        <v>11</v>
      </c>
      <c r="G713" s="3"/>
      <c r="N713">
        <v>36.68</v>
      </c>
      <c r="O713">
        <v>39.31</v>
      </c>
      <c r="P713">
        <v>16.190000000000001</v>
      </c>
      <c r="Q713">
        <v>42.51</v>
      </c>
      <c r="R713">
        <v>22.38</v>
      </c>
      <c r="S713">
        <v>8.9879999999999995</v>
      </c>
    </row>
    <row r="714" spans="1:19">
      <c r="A714">
        <v>2025</v>
      </c>
      <c r="B714" t="s">
        <v>5</v>
      </c>
      <c r="C714" t="s">
        <v>6</v>
      </c>
      <c r="D714">
        <v>11</v>
      </c>
      <c r="G714" s="3"/>
      <c r="N714">
        <v>68.66</v>
      </c>
      <c r="O714">
        <v>9.94</v>
      </c>
      <c r="P714">
        <v>30.35</v>
      </c>
      <c r="Q714">
        <v>31.94</v>
      </c>
      <c r="R714">
        <v>71.87</v>
      </c>
      <c r="S714">
        <v>8.9469999999999992</v>
      </c>
    </row>
    <row r="715" spans="1:19">
      <c r="A715">
        <v>2025</v>
      </c>
      <c r="B715" t="s">
        <v>5</v>
      </c>
      <c r="C715" t="s">
        <v>6</v>
      </c>
      <c r="D715">
        <v>12</v>
      </c>
      <c r="G715" s="3"/>
      <c r="N715">
        <v>43.76</v>
      </c>
      <c r="O715">
        <v>36.4</v>
      </c>
      <c r="P715">
        <v>22.09</v>
      </c>
      <c r="Q715">
        <v>42.58</v>
      </c>
      <c r="R715">
        <v>31.24</v>
      </c>
      <c r="S715">
        <v>9.9079999999999995</v>
      </c>
    </row>
    <row r="716" spans="1:19">
      <c r="A716">
        <v>2025</v>
      </c>
      <c r="B716" t="s">
        <v>5</v>
      </c>
      <c r="C716" t="s">
        <v>6</v>
      </c>
      <c r="D716">
        <v>12</v>
      </c>
      <c r="G716" s="3"/>
      <c r="N716">
        <v>69.959999999999994</v>
      </c>
      <c r="O716">
        <v>-0.42</v>
      </c>
      <c r="P716">
        <v>33.520000000000003</v>
      </c>
      <c r="Q716">
        <v>33.53</v>
      </c>
      <c r="R716">
        <v>90.72</v>
      </c>
      <c r="S716">
        <v>9.6389999999999993</v>
      </c>
    </row>
    <row r="717" spans="1:19">
      <c r="A717">
        <v>2025</v>
      </c>
      <c r="B717" t="s">
        <v>5</v>
      </c>
      <c r="C717" t="s">
        <v>6</v>
      </c>
      <c r="D717">
        <v>13</v>
      </c>
      <c r="G717" s="3"/>
      <c r="N717">
        <v>37.31</v>
      </c>
      <c r="O717">
        <v>36.92</v>
      </c>
      <c r="P717">
        <v>17.75</v>
      </c>
      <c r="Q717">
        <v>40.97</v>
      </c>
      <c r="R717">
        <v>25.67</v>
      </c>
      <c r="S717">
        <v>9.1829999999999998</v>
      </c>
    </row>
    <row r="718" spans="1:19">
      <c r="A718">
        <v>2025</v>
      </c>
      <c r="B718" t="s">
        <v>5</v>
      </c>
      <c r="C718" t="s">
        <v>6</v>
      </c>
      <c r="D718">
        <v>13</v>
      </c>
      <c r="G718" s="3"/>
      <c r="N718">
        <v>39.369999999999997</v>
      </c>
      <c r="O718">
        <v>39.53</v>
      </c>
      <c r="P718">
        <v>24.62</v>
      </c>
      <c r="Q718">
        <v>46.57</v>
      </c>
      <c r="R718">
        <v>31.91</v>
      </c>
      <c r="S718">
        <v>8.3680000000000003</v>
      </c>
    </row>
    <row r="719" spans="1:19">
      <c r="A719">
        <v>2025</v>
      </c>
      <c r="B719" t="s">
        <v>5</v>
      </c>
      <c r="C719" t="s">
        <v>6</v>
      </c>
      <c r="D719">
        <v>14</v>
      </c>
      <c r="G719" s="3"/>
      <c r="N719">
        <v>33.26</v>
      </c>
      <c r="O719">
        <v>44.18</v>
      </c>
      <c r="P719">
        <v>18.88</v>
      </c>
      <c r="Q719">
        <v>48.04</v>
      </c>
      <c r="R719">
        <v>23.14</v>
      </c>
      <c r="S719">
        <v>8.3940000000000001</v>
      </c>
    </row>
    <row r="720" spans="1:19">
      <c r="A720">
        <v>2025</v>
      </c>
      <c r="B720" t="s">
        <v>5</v>
      </c>
      <c r="C720" t="s">
        <v>6</v>
      </c>
      <c r="D720">
        <v>14</v>
      </c>
      <c r="G720" s="3"/>
      <c r="N720">
        <v>57.36</v>
      </c>
      <c r="O720">
        <v>30.64</v>
      </c>
      <c r="P720">
        <v>26.4</v>
      </c>
      <c r="Q720">
        <v>40.44</v>
      </c>
      <c r="R720">
        <v>40.75</v>
      </c>
      <c r="S720">
        <v>9.24</v>
      </c>
    </row>
    <row r="721" spans="1:19">
      <c r="A721">
        <v>2025</v>
      </c>
      <c r="B721" t="s">
        <v>5</v>
      </c>
      <c r="C721" t="s">
        <v>6</v>
      </c>
      <c r="D721">
        <v>15</v>
      </c>
      <c r="G721" s="3"/>
      <c r="N721">
        <v>37.44</v>
      </c>
      <c r="O721">
        <v>41.23</v>
      </c>
      <c r="P721">
        <v>20.100000000000001</v>
      </c>
      <c r="Q721">
        <v>45.87</v>
      </c>
      <c r="R721">
        <v>25.99</v>
      </c>
      <c r="S721">
        <v>7.7869999999999999</v>
      </c>
    </row>
    <row r="722" spans="1:19">
      <c r="A722">
        <v>2025</v>
      </c>
      <c r="B722" t="s">
        <v>5</v>
      </c>
      <c r="C722" t="s">
        <v>6</v>
      </c>
      <c r="D722">
        <v>15</v>
      </c>
      <c r="G722" s="3"/>
      <c r="N722">
        <v>54.13</v>
      </c>
      <c r="O722">
        <v>32.619999999999997</v>
      </c>
      <c r="P722">
        <v>28.05</v>
      </c>
      <c r="Q722">
        <v>43.02</v>
      </c>
      <c r="R722">
        <v>40.69</v>
      </c>
      <c r="S722">
        <v>8.2759999999999998</v>
      </c>
    </row>
    <row r="723" spans="1:19">
      <c r="A723">
        <v>2025</v>
      </c>
      <c r="B723" t="s">
        <v>5</v>
      </c>
      <c r="C723" t="s">
        <v>8</v>
      </c>
      <c r="D723">
        <v>1</v>
      </c>
      <c r="G723" s="3"/>
      <c r="N723">
        <v>37.69</v>
      </c>
      <c r="O723">
        <v>43.19</v>
      </c>
      <c r="P723">
        <v>21.49</v>
      </c>
      <c r="Q723">
        <v>48.24</v>
      </c>
      <c r="R723">
        <v>26.45</v>
      </c>
      <c r="S723">
        <v>9.7240000000000002</v>
      </c>
    </row>
    <row r="724" spans="1:19">
      <c r="A724">
        <v>2025</v>
      </c>
      <c r="B724" t="s">
        <v>5</v>
      </c>
      <c r="C724" t="s">
        <v>8</v>
      </c>
      <c r="D724">
        <v>1</v>
      </c>
      <c r="G724" s="3"/>
      <c r="N724">
        <v>45.52</v>
      </c>
      <c r="O724">
        <v>40.49</v>
      </c>
      <c r="P724">
        <v>22.94</v>
      </c>
      <c r="Q724">
        <v>46.53</v>
      </c>
      <c r="R724">
        <v>29.53</v>
      </c>
      <c r="S724">
        <v>9.7850000000000001</v>
      </c>
    </row>
    <row r="725" spans="1:19">
      <c r="A725">
        <v>2025</v>
      </c>
      <c r="B725" t="s">
        <v>5</v>
      </c>
      <c r="C725" t="s">
        <v>8</v>
      </c>
      <c r="D725">
        <v>2</v>
      </c>
      <c r="G725" s="3"/>
      <c r="N725">
        <v>40.24</v>
      </c>
      <c r="O725">
        <v>41.4</v>
      </c>
      <c r="P725">
        <v>21.31</v>
      </c>
      <c r="Q725">
        <v>46.57</v>
      </c>
      <c r="R725">
        <v>27.24</v>
      </c>
      <c r="S725">
        <v>9.9239999999999995</v>
      </c>
    </row>
    <row r="726" spans="1:19">
      <c r="A726">
        <v>2025</v>
      </c>
      <c r="B726" t="s">
        <v>5</v>
      </c>
      <c r="C726" t="s">
        <v>8</v>
      </c>
      <c r="D726">
        <v>2</v>
      </c>
      <c r="G726" s="3"/>
      <c r="N726">
        <v>39.049999999999997</v>
      </c>
      <c r="O726">
        <v>45.64</v>
      </c>
      <c r="P726">
        <v>21.36</v>
      </c>
      <c r="Q726">
        <v>50.39</v>
      </c>
      <c r="R726">
        <v>25.09</v>
      </c>
      <c r="S726">
        <v>11.603</v>
      </c>
    </row>
    <row r="727" spans="1:19">
      <c r="A727">
        <v>2025</v>
      </c>
      <c r="B727" t="s">
        <v>5</v>
      </c>
      <c r="C727" t="s">
        <v>8</v>
      </c>
      <c r="D727">
        <v>3</v>
      </c>
      <c r="G727" s="3"/>
      <c r="N727">
        <v>36.479999999999997</v>
      </c>
      <c r="O727">
        <v>42.14</v>
      </c>
      <c r="P727">
        <v>18.489999999999998</v>
      </c>
      <c r="Q727">
        <v>46.02</v>
      </c>
      <c r="R727">
        <v>23.69</v>
      </c>
      <c r="S727">
        <v>9.5760000000000005</v>
      </c>
    </row>
    <row r="728" spans="1:19">
      <c r="A728">
        <v>2025</v>
      </c>
      <c r="B728" t="s">
        <v>5</v>
      </c>
      <c r="C728" t="s">
        <v>8</v>
      </c>
      <c r="D728">
        <v>3</v>
      </c>
      <c r="G728" s="3"/>
      <c r="N728">
        <v>62.03</v>
      </c>
      <c r="O728">
        <v>21.14</v>
      </c>
      <c r="P728">
        <v>27.45</v>
      </c>
      <c r="Q728">
        <v>34.65</v>
      </c>
      <c r="R728">
        <v>52.4</v>
      </c>
      <c r="S728">
        <v>11.364000000000001</v>
      </c>
    </row>
    <row r="729" spans="1:19">
      <c r="A729">
        <v>2025</v>
      </c>
      <c r="B729" t="s">
        <v>5</v>
      </c>
      <c r="C729" t="s">
        <v>8</v>
      </c>
      <c r="D729">
        <v>4</v>
      </c>
      <c r="G729" s="3"/>
      <c r="N729">
        <v>42.07</v>
      </c>
      <c r="O729">
        <v>45.21</v>
      </c>
      <c r="P729">
        <v>22.96</v>
      </c>
      <c r="Q729">
        <v>50.71</v>
      </c>
      <c r="R729">
        <v>26.92</v>
      </c>
      <c r="S729">
        <v>10.349</v>
      </c>
    </row>
    <row r="730" spans="1:19">
      <c r="A730">
        <v>2025</v>
      </c>
      <c r="B730" t="s">
        <v>5</v>
      </c>
      <c r="C730" t="s">
        <v>8</v>
      </c>
      <c r="D730">
        <v>4</v>
      </c>
      <c r="G730" s="3"/>
      <c r="N730">
        <v>44.93</v>
      </c>
      <c r="O730">
        <v>41.26</v>
      </c>
      <c r="P730">
        <v>25.43</v>
      </c>
      <c r="Q730">
        <v>48.47</v>
      </c>
      <c r="R730">
        <v>31.64</v>
      </c>
      <c r="S730">
        <v>11.068</v>
      </c>
    </row>
    <row r="731" spans="1:19">
      <c r="A731">
        <v>2025</v>
      </c>
      <c r="B731" t="s">
        <v>5</v>
      </c>
      <c r="C731" t="s">
        <v>8</v>
      </c>
      <c r="D731">
        <v>5</v>
      </c>
      <c r="G731" s="3"/>
      <c r="N731">
        <v>42.73</v>
      </c>
      <c r="O731">
        <v>41.82</v>
      </c>
      <c r="P731">
        <v>22.77</v>
      </c>
      <c r="Q731">
        <v>47.62</v>
      </c>
      <c r="R731">
        <v>28.57</v>
      </c>
      <c r="S731">
        <v>11.44</v>
      </c>
    </row>
    <row r="732" spans="1:19">
      <c r="A732">
        <v>2025</v>
      </c>
      <c r="B732" t="s">
        <v>5</v>
      </c>
      <c r="C732" t="s">
        <v>8</v>
      </c>
      <c r="D732">
        <v>5</v>
      </c>
      <c r="G732" s="3"/>
      <c r="N732">
        <v>45.97</v>
      </c>
      <c r="O732">
        <v>40.06</v>
      </c>
      <c r="P732">
        <v>24.22</v>
      </c>
      <c r="Q732">
        <v>46.81</v>
      </c>
      <c r="R732">
        <v>31.15</v>
      </c>
      <c r="S732">
        <v>10.31</v>
      </c>
    </row>
    <row r="733" spans="1:19">
      <c r="A733">
        <v>2025</v>
      </c>
      <c r="B733" t="s">
        <v>5</v>
      </c>
      <c r="C733" t="s">
        <v>8</v>
      </c>
      <c r="D733">
        <v>6</v>
      </c>
      <c r="G733" s="3"/>
      <c r="N733">
        <v>42.65</v>
      </c>
      <c r="O733">
        <v>42.5</v>
      </c>
      <c r="P733">
        <v>22.26</v>
      </c>
      <c r="Q733">
        <v>47.97</v>
      </c>
      <c r="R733">
        <v>27.64</v>
      </c>
      <c r="S733">
        <v>12.823</v>
      </c>
    </row>
    <row r="734" spans="1:19">
      <c r="A734">
        <v>2025</v>
      </c>
      <c r="B734" t="s">
        <v>5</v>
      </c>
      <c r="C734" t="s">
        <v>8</v>
      </c>
      <c r="D734">
        <v>6</v>
      </c>
      <c r="G734" s="3"/>
      <c r="N734">
        <v>46.98</v>
      </c>
      <c r="O734">
        <v>38.46</v>
      </c>
      <c r="P734">
        <v>22.42</v>
      </c>
      <c r="Q734">
        <v>44.51</v>
      </c>
      <c r="R734">
        <v>30.24</v>
      </c>
      <c r="S734">
        <v>13.284000000000001</v>
      </c>
    </row>
    <row r="735" spans="1:19">
      <c r="A735">
        <v>2025</v>
      </c>
      <c r="B735" t="s">
        <v>5</v>
      </c>
      <c r="C735" t="s">
        <v>8</v>
      </c>
      <c r="D735">
        <v>7</v>
      </c>
      <c r="G735" s="3"/>
      <c r="N735">
        <v>34.72</v>
      </c>
      <c r="O735">
        <v>40.94</v>
      </c>
      <c r="P735">
        <v>19.739999999999998</v>
      </c>
      <c r="Q735">
        <v>45.45</v>
      </c>
      <c r="R735">
        <v>25.74</v>
      </c>
      <c r="S735">
        <v>9.0399999999999991</v>
      </c>
    </row>
    <row r="736" spans="1:19">
      <c r="A736">
        <v>2025</v>
      </c>
      <c r="B736" t="s">
        <v>5</v>
      </c>
      <c r="C736" t="s">
        <v>8</v>
      </c>
      <c r="D736">
        <v>7</v>
      </c>
      <c r="G736" s="3"/>
      <c r="N736">
        <v>49.9</v>
      </c>
      <c r="O736">
        <v>44.54</v>
      </c>
      <c r="P736">
        <v>26.94</v>
      </c>
      <c r="Q736">
        <v>52.06</v>
      </c>
      <c r="R736">
        <v>31.16</v>
      </c>
      <c r="S736">
        <v>11.079000000000001</v>
      </c>
    </row>
    <row r="737" spans="1:19">
      <c r="A737">
        <v>2025</v>
      </c>
      <c r="B737" t="s">
        <v>5</v>
      </c>
      <c r="C737" t="s">
        <v>8</v>
      </c>
      <c r="D737">
        <v>8</v>
      </c>
      <c r="G737" s="3"/>
      <c r="N737">
        <v>38.93</v>
      </c>
      <c r="O737">
        <v>42.15</v>
      </c>
      <c r="P737">
        <v>21.59</v>
      </c>
      <c r="Q737">
        <v>47.35</v>
      </c>
      <c r="R737">
        <v>27.12</v>
      </c>
      <c r="S737">
        <v>9.8960000000000008</v>
      </c>
    </row>
    <row r="738" spans="1:19">
      <c r="A738">
        <v>2025</v>
      </c>
      <c r="B738" t="s">
        <v>5</v>
      </c>
      <c r="C738" t="s">
        <v>8</v>
      </c>
      <c r="D738">
        <v>8</v>
      </c>
      <c r="G738" s="3"/>
      <c r="N738">
        <v>42.24</v>
      </c>
      <c r="O738">
        <v>41.44</v>
      </c>
      <c r="P738">
        <v>23.08</v>
      </c>
      <c r="Q738">
        <v>47.43</v>
      </c>
      <c r="R738">
        <v>29.12</v>
      </c>
      <c r="S738">
        <v>9.3699999999999992</v>
      </c>
    </row>
    <row r="739" spans="1:19">
      <c r="A739">
        <v>2025</v>
      </c>
      <c r="B739" t="s">
        <v>5</v>
      </c>
      <c r="C739" t="s">
        <v>8</v>
      </c>
      <c r="D739">
        <v>9</v>
      </c>
      <c r="G739" s="3"/>
      <c r="N739">
        <v>51.49</v>
      </c>
      <c r="O739">
        <v>39.630000000000003</v>
      </c>
      <c r="P739">
        <v>25.05</v>
      </c>
      <c r="Q739">
        <v>46.88</v>
      </c>
      <c r="R739">
        <v>32.29</v>
      </c>
      <c r="S739">
        <v>11.096</v>
      </c>
    </row>
    <row r="740" spans="1:19">
      <c r="A740">
        <v>2025</v>
      </c>
      <c r="B740" t="s">
        <v>5</v>
      </c>
      <c r="C740" t="s">
        <v>8</v>
      </c>
      <c r="D740">
        <v>9</v>
      </c>
      <c r="G740" s="3"/>
      <c r="N740">
        <v>40.909999999999997</v>
      </c>
      <c r="O740">
        <v>45.29</v>
      </c>
      <c r="P740">
        <v>24.42</v>
      </c>
      <c r="Q740">
        <v>51.46</v>
      </c>
      <c r="R740">
        <v>28.34</v>
      </c>
      <c r="S740">
        <v>10.042</v>
      </c>
    </row>
    <row r="741" spans="1:19">
      <c r="A741">
        <v>2025</v>
      </c>
      <c r="B741" t="s">
        <v>5</v>
      </c>
      <c r="C741" t="s">
        <v>8</v>
      </c>
      <c r="D741">
        <v>10</v>
      </c>
      <c r="G741" s="3"/>
      <c r="N741">
        <v>40.369999999999997</v>
      </c>
      <c r="O741">
        <v>45.89</v>
      </c>
      <c r="P741">
        <v>22.66</v>
      </c>
      <c r="Q741">
        <v>51.19</v>
      </c>
      <c r="R741">
        <v>26.28</v>
      </c>
      <c r="S741">
        <v>10.465999999999999</v>
      </c>
    </row>
    <row r="742" spans="1:19">
      <c r="A742">
        <v>2025</v>
      </c>
      <c r="B742" t="s">
        <v>5</v>
      </c>
      <c r="C742" t="s">
        <v>8</v>
      </c>
      <c r="D742">
        <v>10</v>
      </c>
      <c r="G742" s="3"/>
      <c r="N742">
        <v>60.29</v>
      </c>
      <c r="O742">
        <v>26.94</v>
      </c>
      <c r="P742">
        <v>27.54</v>
      </c>
      <c r="Q742">
        <v>38.53</v>
      </c>
      <c r="R742">
        <v>45.63</v>
      </c>
      <c r="S742">
        <v>11.782999999999999</v>
      </c>
    </row>
    <row r="743" spans="1:19">
      <c r="A743">
        <v>2025</v>
      </c>
      <c r="B743" t="s">
        <v>5</v>
      </c>
      <c r="C743" t="s">
        <v>8</v>
      </c>
      <c r="D743">
        <v>11</v>
      </c>
      <c r="G743" s="3"/>
      <c r="N743">
        <v>36.94</v>
      </c>
      <c r="O743">
        <v>46.22</v>
      </c>
      <c r="P743">
        <v>22.79</v>
      </c>
      <c r="Q743">
        <v>51.53</v>
      </c>
      <c r="R743">
        <v>26.24</v>
      </c>
      <c r="S743">
        <v>11.4</v>
      </c>
    </row>
    <row r="744" spans="1:19">
      <c r="A744">
        <v>2025</v>
      </c>
      <c r="B744" t="s">
        <v>5</v>
      </c>
      <c r="C744" t="s">
        <v>8</v>
      </c>
      <c r="D744">
        <v>11</v>
      </c>
      <c r="G744" s="3"/>
      <c r="N744">
        <v>65.58</v>
      </c>
      <c r="O744">
        <v>20.71</v>
      </c>
      <c r="P744">
        <v>27.74</v>
      </c>
      <c r="Q744">
        <v>34.619999999999997</v>
      </c>
      <c r="R744">
        <v>53.26</v>
      </c>
      <c r="S744">
        <v>9.4309999999999992</v>
      </c>
    </row>
    <row r="745" spans="1:19">
      <c r="A745">
        <v>2025</v>
      </c>
      <c r="B745" t="s">
        <v>5</v>
      </c>
      <c r="C745" t="s">
        <v>8</v>
      </c>
      <c r="D745">
        <v>12</v>
      </c>
      <c r="G745" s="3"/>
      <c r="N745">
        <v>43.42</v>
      </c>
      <c r="O745">
        <v>41.59</v>
      </c>
      <c r="P745">
        <v>24</v>
      </c>
      <c r="Q745">
        <v>48.02</v>
      </c>
      <c r="R745">
        <v>29.99</v>
      </c>
      <c r="S745">
        <v>12.032999999999999</v>
      </c>
    </row>
    <row r="746" spans="1:19">
      <c r="A746">
        <v>2025</v>
      </c>
      <c r="B746" t="s">
        <v>5</v>
      </c>
      <c r="C746" t="s">
        <v>8</v>
      </c>
      <c r="D746">
        <v>12</v>
      </c>
      <c r="G746" s="3"/>
      <c r="N746">
        <v>49.09</v>
      </c>
      <c r="O746">
        <v>36.07</v>
      </c>
      <c r="P746">
        <v>22.8</v>
      </c>
      <c r="Q746">
        <v>42.67</v>
      </c>
      <c r="R746">
        <v>32.29</v>
      </c>
      <c r="S746">
        <v>12.186</v>
      </c>
    </row>
    <row r="747" spans="1:19">
      <c r="A747">
        <v>2025</v>
      </c>
      <c r="B747" t="s">
        <v>5</v>
      </c>
      <c r="C747" t="s">
        <v>8</v>
      </c>
      <c r="D747">
        <v>13</v>
      </c>
      <c r="G747" s="3"/>
      <c r="N747">
        <v>40.19</v>
      </c>
      <c r="O747">
        <v>39.74</v>
      </c>
      <c r="P747">
        <v>20</v>
      </c>
      <c r="Q747">
        <v>44.49</v>
      </c>
      <c r="R747">
        <v>26.71</v>
      </c>
      <c r="S747">
        <v>12.743</v>
      </c>
    </row>
    <row r="748" spans="1:19">
      <c r="A748">
        <v>2025</v>
      </c>
      <c r="B748" t="s">
        <v>5</v>
      </c>
      <c r="C748" t="s">
        <v>8</v>
      </c>
      <c r="D748">
        <v>13</v>
      </c>
      <c r="G748" s="3"/>
      <c r="N748">
        <v>58.05</v>
      </c>
      <c r="O748">
        <v>30.94</v>
      </c>
      <c r="P748">
        <v>28.45</v>
      </c>
      <c r="Q748">
        <v>42.04</v>
      </c>
      <c r="R748">
        <v>42.6</v>
      </c>
      <c r="S748">
        <v>14.95</v>
      </c>
    </row>
    <row r="749" spans="1:19">
      <c r="A749">
        <v>2025</v>
      </c>
      <c r="B749" t="s">
        <v>5</v>
      </c>
      <c r="C749" t="s">
        <v>8</v>
      </c>
      <c r="D749">
        <v>14</v>
      </c>
      <c r="G749" s="3"/>
      <c r="N749">
        <v>33.72</v>
      </c>
      <c r="O749">
        <v>40.25</v>
      </c>
      <c r="P749">
        <v>16.04</v>
      </c>
      <c r="Q749">
        <v>43.32</v>
      </c>
      <c r="R749">
        <v>21.72</v>
      </c>
      <c r="S749">
        <v>9.9420000000000002</v>
      </c>
    </row>
    <row r="750" spans="1:19">
      <c r="A750">
        <v>2025</v>
      </c>
      <c r="B750" t="s">
        <v>5</v>
      </c>
      <c r="C750" t="s">
        <v>8</v>
      </c>
      <c r="D750">
        <v>14</v>
      </c>
      <c r="G750" s="3"/>
      <c r="N750">
        <v>53.65</v>
      </c>
      <c r="O750">
        <v>37.17</v>
      </c>
      <c r="P750">
        <v>29.2</v>
      </c>
      <c r="Q750">
        <v>47.27</v>
      </c>
      <c r="R750">
        <v>38.15</v>
      </c>
      <c r="S750">
        <v>10.858000000000001</v>
      </c>
    </row>
    <row r="751" spans="1:19">
      <c r="A751">
        <v>2025</v>
      </c>
      <c r="B751" t="s">
        <v>5</v>
      </c>
      <c r="C751" t="s">
        <v>8</v>
      </c>
      <c r="D751">
        <v>15</v>
      </c>
      <c r="G751" s="3"/>
      <c r="N751">
        <v>49.45</v>
      </c>
      <c r="O751">
        <v>37.06</v>
      </c>
      <c r="P751">
        <v>24.53</v>
      </c>
      <c r="Q751">
        <v>44.44</v>
      </c>
      <c r="R751">
        <v>33.5</v>
      </c>
      <c r="S751">
        <v>10.869</v>
      </c>
    </row>
    <row r="752" spans="1:19">
      <c r="A752">
        <v>2025</v>
      </c>
      <c r="B752" t="s">
        <v>5</v>
      </c>
      <c r="C752" t="s">
        <v>8</v>
      </c>
      <c r="D752">
        <v>15</v>
      </c>
      <c r="G752" s="3"/>
      <c r="N752">
        <v>70.31</v>
      </c>
      <c r="O752">
        <v>9.4</v>
      </c>
      <c r="P752">
        <v>29.47</v>
      </c>
      <c r="Q752">
        <v>30.93</v>
      </c>
      <c r="R752">
        <v>72.31</v>
      </c>
      <c r="S752">
        <v>10.48</v>
      </c>
    </row>
    <row r="753" spans="1:19">
      <c r="A753">
        <v>2025</v>
      </c>
      <c r="B753" t="s">
        <v>12</v>
      </c>
      <c r="C753" t="s">
        <v>8</v>
      </c>
      <c r="D753">
        <v>1</v>
      </c>
      <c r="G753" s="3"/>
      <c r="N753">
        <v>40.880000000000003</v>
      </c>
      <c r="O753">
        <v>49.15</v>
      </c>
      <c r="P753">
        <v>23.78</v>
      </c>
      <c r="Q753">
        <v>54.6</v>
      </c>
      <c r="R753">
        <v>25.82</v>
      </c>
      <c r="S753">
        <v>12.933999999999999</v>
      </c>
    </row>
    <row r="754" spans="1:19">
      <c r="A754">
        <v>2025</v>
      </c>
      <c r="B754" t="s">
        <v>12</v>
      </c>
      <c r="C754" t="s">
        <v>8</v>
      </c>
      <c r="D754">
        <v>1</v>
      </c>
      <c r="G754" s="3"/>
      <c r="N754">
        <v>64.150000000000006</v>
      </c>
      <c r="O754">
        <v>18.670000000000002</v>
      </c>
      <c r="P754">
        <v>31.38</v>
      </c>
      <c r="Q754">
        <v>36.51</v>
      </c>
      <c r="R754">
        <v>59.25</v>
      </c>
      <c r="S754">
        <v>11.032</v>
      </c>
    </row>
    <row r="755" spans="1:19">
      <c r="A755">
        <v>2025</v>
      </c>
      <c r="B755" t="s">
        <v>12</v>
      </c>
      <c r="C755" t="s">
        <v>8</v>
      </c>
      <c r="D755">
        <v>2</v>
      </c>
      <c r="G755" s="3"/>
      <c r="N755">
        <v>39.549999999999997</v>
      </c>
      <c r="O755">
        <v>44.78</v>
      </c>
      <c r="P755">
        <v>24.02</v>
      </c>
      <c r="Q755">
        <v>50.82</v>
      </c>
      <c r="R755">
        <v>28.2</v>
      </c>
      <c r="S755">
        <v>12.500999999999999</v>
      </c>
    </row>
    <row r="756" spans="1:19">
      <c r="A756">
        <v>2025</v>
      </c>
      <c r="B756" t="s">
        <v>12</v>
      </c>
      <c r="C756" t="s">
        <v>8</v>
      </c>
      <c r="D756">
        <v>2</v>
      </c>
      <c r="G756" s="3"/>
      <c r="N756">
        <v>61.01</v>
      </c>
      <c r="O756">
        <v>19.809999999999999</v>
      </c>
      <c r="P756">
        <v>30.91</v>
      </c>
      <c r="Q756">
        <v>36.71</v>
      </c>
      <c r="R756">
        <v>57.35</v>
      </c>
      <c r="S756">
        <v>10.308999999999999</v>
      </c>
    </row>
    <row r="757" spans="1:19">
      <c r="A757">
        <v>2025</v>
      </c>
      <c r="B757" t="s">
        <v>12</v>
      </c>
      <c r="C757" t="s">
        <v>8</v>
      </c>
      <c r="D757">
        <v>3</v>
      </c>
      <c r="G757" s="3"/>
      <c r="N757">
        <v>35.93</v>
      </c>
      <c r="O757">
        <v>41.27</v>
      </c>
      <c r="P757">
        <v>21.76</v>
      </c>
      <c r="Q757">
        <v>46.66</v>
      </c>
      <c r="R757">
        <v>27.8</v>
      </c>
      <c r="S757">
        <v>8.5589999999999993</v>
      </c>
    </row>
    <row r="758" spans="1:19">
      <c r="A758">
        <v>2025</v>
      </c>
      <c r="B758" t="s">
        <v>12</v>
      </c>
      <c r="C758" t="s">
        <v>8</v>
      </c>
      <c r="D758">
        <v>3</v>
      </c>
      <c r="G758" s="3"/>
      <c r="N758">
        <v>37.83</v>
      </c>
      <c r="O758">
        <v>41.9</v>
      </c>
      <c r="P758">
        <v>22.02</v>
      </c>
      <c r="Q758">
        <v>47.33</v>
      </c>
      <c r="R758">
        <v>27.72</v>
      </c>
      <c r="S758">
        <v>10.326000000000001</v>
      </c>
    </row>
    <row r="759" spans="1:19">
      <c r="A759">
        <v>2025</v>
      </c>
      <c r="B759" t="s">
        <v>12</v>
      </c>
      <c r="C759" t="s">
        <v>8</v>
      </c>
      <c r="D759">
        <v>4</v>
      </c>
      <c r="G759" s="3"/>
      <c r="N759">
        <v>48.9</v>
      </c>
      <c r="O759">
        <v>38.729999999999997</v>
      </c>
      <c r="P759">
        <v>25.26</v>
      </c>
      <c r="Q759">
        <v>46.24</v>
      </c>
      <c r="R759">
        <v>33.11</v>
      </c>
      <c r="S759">
        <v>12.08</v>
      </c>
    </row>
    <row r="760" spans="1:19">
      <c r="A760">
        <v>2025</v>
      </c>
      <c r="B760" t="s">
        <v>12</v>
      </c>
      <c r="C760" t="s">
        <v>8</v>
      </c>
      <c r="D760">
        <v>4</v>
      </c>
      <c r="G760" s="3"/>
      <c r="N760">
        <v>48.16</v>
      </c>
      <c r="O760">
        <v>38.25</v>
      </c>
      <c r="P760">
        <v>25.1</v>
      </c>
      <c r="Q760">
        <v>45.75</v>
      </c>
      <c r="R760">
        <v>33.28</v>
      </c>
      <c r="S760">
        <v>10.432</v>
      </c>
    </row>
    <row r="761" spans="1:19">
      <c r="A761">
        <v>2025</v>
      </c>
      <c r="B761" t="s">
        <v>12</v>
      </c>
      <c r="C761" t="s">
        <v>8</v>
      </c>
      <c r="D761">
        <v>5</v>
      </c>
      <c r="G761" s="3"/>
      <c r="N761">
        <v>33.76</v>
      </c>
      <c r="O761">
        <v>41.48</v>
      </c>
      <c r="P761">
        <v>18.47</v>
      </c>
      <c r="Q761">
        <v>45.4</v>
      </c>
      <c r="R761">
        <v>24.01</v>
      </c>
      <c r="S761">
        <v>8.9090000000000007</v>
      </c>
    </row>
    <row r="762" spans="1:19">
      <c r="A762">
        <v>2025</v>
      </c>
      <c r="B762" t="s">
        <v>12</v>
      </c>
      <c r="C762" t="s">
        <v>8</v>
      </c>
      <c r="D762">
        <v>5</v>
      </c>
      <c r="G762" s="3"/>
      <c r="N762">
        <v>48.28</v>
      </c>
      <c r="O762">
        <v>38.369999999999997</v>
      </c>
      <c r="P762">
        <v>24.95</v>
      </c>
      <c r="Q762">
        <v>45.77</v>
      </c>
      <c r="R762">
        <v>33.03</v>
      </c>
      <c r="S762">
        <v>9.0960000000000001</v>
      </c>
    </row>
    <row r="763" spans="1:19">
      <c r="A763">
        <v>2025</v>
      </c>
      <c r="B763" t="s">
        <v>12</v>
      </c>
      <c r="C763" t="s">
        <v>8</v>
      </c>
      <c r="D763">
        <v>6</v>
      </c>
      <c r="G763" s="3"/>
      <c r="N763">
        <v>46.58</v>
      </c>
      <c r="O763">
        <v>36.67</v>
      </c>
      <c r="P763">
        <v>24.68</v>
      </c>
      <c r="Q763">
        <v>44.2</v>
      </c>
      <c r="R763">
        <v>33.93</v>
      </c>
      <c r="S763">
        <v>11.021000000000001</v>
      </c>
    </row>
    <row r="764" spans="1:19">
      <c r="A764">
        <v>2025</v>
      </c>
      <c r="B764" t="s">
        <v>12</v>
      </c>
      <c r="C764" t="s">
        <v>8</v>
      </c>
      <c r="D764">
        <v>6</v>
      </c>
      <c r="G764" s="3"/>
      <c r="N764">
        <v>42.98</v>
      </c>
      <c r="O764">
        <v>38.299999999999997</v>
      </c>
      <c r="P764">
        <v>21.94</v>
      </c>
      <c r="Q764">
        <v>44.13</v>
      </c>
      <c r="R764">
        <v>29.8</v>
      </c>
      <c r="S764">
        <v>10.760999999999999</v>
      </c>
    </row>
    <row r="765" spans="1:19">
      <c r="A765">
        <v>2025</v>
      </c>
      <c r="B765" t="s">
        <v>12</v>
      </c>
      <c r="C765" t="s">
        <v>8</v>
      </c>
      <c r="D765">
        <v>7</v>
      </c>
      <c r="G765" s="3"/>
      <c r="N765">
        <v>33.4</v>
      </c>
      <c r="O765">
        <v>44</v>
      </c>
      <c r="P765">
        <v>21.38</v>
      </c>
      <c r="Q765">
        <v>48.92</v>
      </c>
      <c r="R765">
        <v>25.92</v>
      </c>
      <c r="S765">
        <v>11.484</v>
      </c>
    </row>
    <row r="766" spans="1:19">
      <c r="A766">
        <v>2025</v>
      </c>
      <c r="B766" t="s">
        <v>12</v>
      </c>
      <c r="C766" t="s">
        <v>8</v>
      </c>
      <c r="D766">
        <v>7</v>
      </c>
      <c r="G766" s="3"/>
      <c r="N766">
        <v>42.05</v>
      </c>
      <c r="O766">
        <v>41.41</v>
      </c>
      <c r="P766">
        <v>25.57</v>
      </c>
      <c r="Q766">
        <v>48.66</v>
      </c>
      <c r="R766">
        <v>31.7</v>
      </c>
      <c r="S766">
        <v>13.763999999999999</v>
      </c>
    </row>
    <row r="767" spans="1:19">
      <c r="A767">
        <v>2025</v>
      </c>
      <c r="B767" t="s">
        <v>12</v>
      </c>
      <c r="C767" t="s">
        <v>8</v>
      </c>
      <c r="D767">
        <v>8</v>
      </c>
      <c r="G767" s="3"/>
      <c r="N767">
        <v>38.909999999999997</v>
      </c>
      <c r="O767">
        <v>42.61</v>
      </c>
      <c r="P767">
        <v>24.04</v>
      </c>
      <c r="Q767">
        <v>48.92</v>
      </c>
      <c r="R767">
        <v>29.43</v>
      </c>
      <c r="S767">
        <v>10.861000000000001</v>
      </c>
    </row>
    <row r="768" spans="1:19">
      <c r="A768">
        <v>2025</v>
      </c>
      <c r="B768" t="s">
        <v>12</v>
      </c>
      <c r="C768" t="s">
        <v>8</v>
      </c>
      <c r="D768">
        <v>8</v>
      </c>
      <c r="G768" s="3"/>
      <c r="N768">
        <v>56.06</v>
      </c>
      <c r="O768">
        <v>31.45</v>
      </c>
      <c r="P768">
        <v>25.73</v>
      </c>
      <c r="Q768">
        <v>40.630000000000003</v>
      </c>
      <c r="R768">
        <v>39.29</v>
      </c>
      <c r="S768">
        <v>9.8339999999999996</v>
      </c>
    </row>
    <row r="769" spans="1:19">
      <c r="A769">
        <v>2025</v>
      </c>
      <c r="B769" t="s">
        <v>12</v>
      </c>
      <c r="C769" t="s">
        <v>8</v>
      </c>
      <c r="D769">
        <v>9</v>
      </c>
      <c r="G769" s="3"/>
      <c r="N769">
        <v>29.82</v>
      </c>
      <c r="O769">
        <v>38.35</v>
      </c>
      <c r="P769">
        <v>14.01</v>
      </c>
      <c r="Q769">
        <v>40.83</v>
      </c>
      <c r="R769">
        <v>20.07</v>
      </c>
      <c r="S769">
        <v>10.348000000000001</v>
      </c>
    </row>
    <row r="770" spans="1:19">
      <c r="A770">
        <v>2025</v>
      </c>
      <c r="B770" t="s">
        <v>12</v>
      </c>
      <c r="C770" t="s">
        <v>8</v>
      </c>
      <c r="D770">
        <v>9</v>
      </c>
      <c r="G770" s="3"/>
      <c r="N770">
        <v>56.01</v>
      </c>
      <c r="O770">
        <v>31.76</v>
      </c>
      <c r="P770">
        <v>25.99</v>
      </c>
      <c r="Q770">
        <v>41.04</v>
      </c>
      <c r="R770">
        <v>39.29</v>
      </c>
      <c r="S770">
        <v>9.5180000000000007</v>
      </c>
    </row>
    <row r="771" spans="1:19">
      <c r="A771">
        <v>2025</v>
      </c>
      <c r="B771" t="s">
        <v>12</v>
      </c>
      <c r="C771" t="s">
        <v>8</v>
      </c>
      <c r="D771">
        <v>10</v>
      </c>
      <c r="G771" s="3"/>
      <c r="N771">
        <v>44.12</v>
      </c>
      <c r="O771">
        <v>42.97</v>
      </c>
      <c r="P771">
        <v>27.45</v>
      </c>
      <c r="Q771">
        <v>50.99</v>
      </c>
      <c r="R771">
        <v>32.57</v>
      </c>
      <c r="S771">
        <v>12.523</v>
      </c>
    </row>
    <row r="772" spans="1:19">
      <c r="A772">
        <v>2025</v>
      </c>
      <c r="B772" t="s">
        <v>12</v>
      </c>
      <c r="C772" t="s">
        <v>8</v>
      </c>
      <c r="D772">
        <v>10</v>
      </c>
      <c r="G772" s="3"/>
      <c r="N772">
        <v>64.040000000000006</v>
      </c>
      <c r="O772">
        <v>14.23</v>
      </c>
      <c r="P772">
        <v>39.83</v>
      </c>
      <c r="Q772">
        <v>42.3</v>
      </c>
      <c r="R772">
        <v>70.34</v>
      </c>
      <c r="S772">
        <v>11.964</v>
      </c>
    </row>
    <row r="773" spans="1:19">
      <c r="A773">
        <v>2025</v>
      </c>
      <c r="B773" t="s">
        <v>12</v>
      </c>
      <c r="C773" t="s">
        <v>8</v>
      </c>
      <c r="D773">
        <v>11</v>
      </c>
      <c r="G773" s="3"/>
      <c r="N773">
        <v>38.61</v>
      </c>
      <c r="O773">
        <v>47.35</v>
      </c>
      <c r="P773">
        <v>23.63</v>
      </c>
      <c r="Q773">
        <v>52.91</v>
      </c>
      <c r="R773">
        <v>26.52</v>
      </c>
      <c r="S773">
        <v>11.699</v>
      </c>
    </row>
    <row r="774" spans="1:19">
      <c r="A774">
        <v>2025</v>
      </c>
      <c r="B774" t="s">
        <v>12</v>
      </c>
      <c r="C774" t="s">
        <v>8</v>
      </c>
      <c r="D774">
        <v>11</v>
      </c>
      <c r="G774" s="3"/>
      <c r="N774">
        <v>64.459999999999994</v>
      </c>
      <c r="O774">
        <v>14.94</v>
      </c>
      <c r="P774">
        <v>30.06</v>
      </c>
      <c r="Q774">
        <v>33.57</v>
      </c>
      <c r="R774">
        <v>63.57</v>
      </c>
      <c r="S774">
        <v>9.4909999999999997</v>
      </c>
    </row>
    <row r="775" spans="1:19">
      <c r="A775">
        <v>2025</v>
      </c>
      <c r="B775" t="s">
        <v>12</v>
      </c>
      <c r="C775" t="s">
        <v>8</v>
      </c>
      <c r="D775">
        <v>12</v>
      </c>
      <c r="G775" s="3"/>
      <c r="N775">
        <v>41.35</v>
      </c>
      <c r="O775">
        <v>41.83</v>
      </c>
      <c r="P775">
        <v>24.66</v>
      </c>
      <c r="Q775">
        <v>48.56</v>
      </c>
      <c r="R775">
        <v>30.52</v>
      </c>
      <c r="S775">
        <v>10.487</v>
      </c>
    </row>
    <row r="776" spans="1:19">
      <c r="A776">
        <v>2025</v>
      </c>
      <c r="B776" t="s">
        <v>12</v>
      </c>
      <c r="C776" t="s">
        <v>8</v>
      </c>
      <c r="D776">
        <v>12</v>
      </c>
      <c r="G776" s="3"/>
      <c r="N776">
        <v>63.41</v>
      </c>
      <c r="O776">
        <v>11.07</v>
      </c>
      <c r="P776">
        <v>31.54</v>
      </c>
      <c r="Q776">
        <v>33.43</v>
      </c>
      <c r="R776">
        <v>70.67</v>
      </c>
      <c r="S776">
        <v>10.416</v>
      </c>
    </row>
    <row r="777" spans="1:19">
      <c r="A777">
        <v>2025</v>
      </c>
      <c r="B777" t="s">
        <v>12</v>
      </c>
      <c r="C777" t="s">
        <v>8</v>
      </c>
      <c r="D777">
        <v>13</v>
      </c>
      <c r="G777" s="3"/>
      <c r="N777">
        <v>33.01</v>
      </c>
      <c r="O777">
        <v>45.69</v>
      </c>
      <c r="P777">
        <v>22.09</v>
      </c>
      <c r="Q777">
        <v>50.75</v>
      </c>
      <c r="R777">
        <v>25.81</v>
      </c>
      <c r="S777">
        <v>8.6929999999999996</v>
      </c>
    </row>
    <row r="778" spans="1:19">
      <c r="A778">
        <v>2025</v>
      </c>
      <c r="B778" t="s">
        <v>12</v>
      </c>
      <c r="C778" t="s">
        <v>8</v>
      </c>
      <c r="D778">
        <v>13</v>
      </c>
      <c r="G778" s="3"/>
      <c r="N778">
        <v>55.98</v>
      </c>
      <c r="O778">
        <v>35.1</v>
      </c>
      <c r="P778">
        <v>26.94</v>
      </c>
      <c r="Q778">
        <v>44.25</v>
      </c>
      <c r="R778">
        <v>37.51</v>
      </c>
      <c r="S778">
        <v>8.9849999999999994</v>
      </c>
    </row>
    <row r="779" spans="1:19">
      <c r="A779">
        <v>2025</v>
      </c>
      <c r="B779" t="s">
        <v>12</v>
      </c>
      <c r="C779" t="s">
        <v>8</v>
      </c>
      <c r="D779">
        <v>14</v>
      </c>
      <c r="G779" s="3"/>
      <c r="N779">
        <v>39.99</v>
      </c>
      <c r="O779">
        <v>42.57</v>
      </c>
      <c r="P779">
        <v>23.8</v>
      </c>
      <c r="Q779">
        <v>48.77</v>
      </c>
      <c r="R779">
        <v>29.21</v>
      </c>
      <c r="S779">
        <v>10.148999999999999</v>
      </c>
    </row>
    <row r="780" spans="1:19">
      <c r="A780">
        <v>2025</v>
      </c>
      <c r="B780" t="s">
        <v>12</v>
      </c>
      <c r="C780" t="s">
        <v>8</v>
      </c>
      <c r="D780">
        <v>14</v>
      </c>
      <c r="G780" s="3"/>
      <c r="N780">
        <v>58.83</v>
      </c>
      <c r="O780">
        <v>24.91</v>
      </c>
      <c r="P780">
        <v>26.84</v>
      </c>
      <c r="Q780">
        <v>36.619999999999997</v>
      </c>
      <c r="R780">
        <v>47.14</v>
      </c>
      <c r="S780">
        <v>9.3780000000000001</v>
      </c>
    </row>
    <row r="781" spans="1:19">
      <c r="A781">
        <v>2025</v>
      </c>
      <c r="B781" t="s">
        <v>12</v>
      </c>
      <c r="C781" t="s">
        <v>8</v>
      </c>
      <c r="D781">
        <v>15</v>
      </c>
      <c r="G781" s="3"/>
      <c r="N781">
        <v>38.19</v>
      </c>
      <c r="O781">
        <v>40.65</v>
      </c>
      <c r="P781">
        <v>22.78</v>
      </c>
      <c r="Q781">
        <v>46.6</v>
      </c>
      <c r="R781">
        <v>29.27</v>
      </c>
      <c r="S781">
        <v>10.805</v>
      </c>
    </row>
    <row r="782" spans="1:19">
      <c r="A782">
        <v>2025</v>
      </c>
      <c r="B782" t="s">
        <v>12</v>
      </c>
      <c r="C782" t="s">
        <v>8</v>
      </c>
      <c r="D782">
        <v>15</v>
      </c>
      <c r="G782" s="3"/>
      <c r="N782">
        <v>53.88</v>
      </c>
      <c r="O782">
        <v>26.67</v>
      </c>
      <c r="P782">
        <v>26.98</v>
      </c>
      <c r="Q782">
        <v>37.94</v>
      </c>
      <c r="R782">
        <v>45.33</v>
      </c>
      <c r="S782">
        <v>10.837</v>
      </c>
    </row>
    <row r="783" spans="1:19">
      <c r="A783">
        <v>2025</v>
      </c>
      <c r="B783" t="s">
        <v>12</v>
      </c>
      <c r="C783" t="s">
        <v>9</v>
      </c>
      <c r="D783">
        <v>1</v>
      </c>
      <c r="G783" s="3"/>
      <c r="N783">
        <v>45.75</v>
      </c>
      <c r="O783">
        <v>43.48</v>
      </c>
      <c r="P783">
        <v>27.41</v>
      </c>
      <c r="Q783">
        <v>51.4</v>
      </c>
      <c r="R783">
        <v>32.229999999999997</v>
      </c>
      <c r="S783">
        <v>8.2409999999999997</v>
      </c>
    </row>
    <row r="784" spans="1:19">
      <c r="A784">
        <v>2025</v>
      </c>
      <c r="B784" t="s">
        <v>12</v>
      </c>
      <c r="C784" t="s">
        <v>9</v>
      </c>
      <c r="D784">
        <v>1</v>
      </c>
      <c r="G784" s="3"/>
      <c r="N784">
        <v>64.099999999999994</v>
      </c>
      <c r="O784">
        <v>25.04</v>
      </c>
      <c r="P784">
        <v>26.53</v>
      </c>
      <c r="Q784">
        <v>36.479999999999997</v>
      </c>
      <c r="R784">
        <v>46.66</v>
      </c>
      <c r="S784">
        <v>8.8379999999999992</v>
      </c>
    </row>
    <row r="785" spans="1:19">
      <c r="A785">
        <v>2025</v>
      </c>
      <c r="B785" t="s">
        <v>12</v>
      </c>
      <c r="C785" t="s">
        <v>9</v>
      </c>
      <c r="D785">
        <v>2</v>
      </c>
      <c r="G785" s="3"/>
      <c r="N785">
        <v>42.33</v>
      </c>
      <c r="O785">
        <v>39.67</v>
      </c>
      <c r="P785">
        <v>21.99</v>
      </c>
      <c r="Q785">
        <v>45.35</v>
      </c>
      <c r="R785">
        <v>29</v>
      </c>
      <c r="S785">
        <v>9.8670000000000009</v>
      </c>
    </row>
    <row r="786" spans="1:19">
      <c r="A786">
        <v>2025</v>
      </c>
      <c r="B786" t="s">
        <v>12</v>
      </c>
      <c r="C786" t="s">
        <v>9</v>
      </c>
      <c r="D786">
        <v>2</v>
      </c>
      <c r="G786" s="3"/>
      <c r="N786">
        <v>46.29</v>
      </c>
      <c r="O786">
        <v>41.23</v>
      </c>
      <c r="P786">
        <v>26.5</v>
      </c>
      <c r="Q786">
        <v>49.01</v>
      </c>
      <c r="R786">
        <v>32.729999999999997</v>
      </c>
      <c r="S786">
        <v>10.759</v>
      </c>
    </row>
    <row r="787" spans="1:19">
      <c r="A787">
        <v>2025</v>
      </c>
      <c r="B787" t="s">
        <v>12</v>
      </c>
      <c r="C787" t="s">
        <v>9</v>
      </c>
      <c r="D787">
        <v>3</v>
      </c>
      <c r="G787" s="3"/>
      <c r="N787">
        <v>42.46</v>
      </c>
      <c r="O787">
        <v>38.72</v>
      </c>
      <c r="P787">
        <v>19.73</v>
      </c>
      <c r="Q787">
        <v>43.46</v>
      </c>
      <c r="R787">
        <v>26.99</v>
      </c>
      <c r="S787">
        <v>9.6999999999999993</v>
      </c>
    </row>
    <row r="788" spans="1:19">
      <c r="A788">
        <v>2025</v>
      </c>
      <c r="B788" t="s">
        <v>12</v>
      </c>
      <c r="C788" t="s">
        <v>9</v>
      </c>
      <c r="D788">
        <v>3</v>
      </c>
      <c r="G788" s="3"/>
      <c r="N788">
        <v>60.22</v>
      </c>
      <c r="O788">
        <v>19.86</v>
      </c>
      <c r="P788">
        <v>30.59</v>
      </c>
      <c r="Q788">
        <v>36.47</v>
      </c>
      <c r="R788">
        <v>57.01</v>
      </c>
      <c r="S788">
        <v>9.4160000000000004</v>
      </c>
    </row>
    <row r="789" spans="1:19">
      <c r="A789">
        <v>2025</v>
      </c>
      <c r="B789" t="s">
        <v>12</v>
      </c>
      <c r="C789" t="s">
        <v>9</v>
      </c>
      <c r="D789">
        <v>4</v>
      </c>
      <c r="G789" s="3"/>
      <c r="N789">
        <v>39.630000000000003</v>
      </c>
      <c r="O789">
        <v>40.46</v>
      </c>
      <c r="P789">
        <v>22.85</v>
      </c>
      <c r="Q789">
        <v>46.47</v>
      </c>
      <c r="R789">
        <v>29.46</v>
      </c>
      <c r="S789">
        <v>10.166</v>
      </c>
    </row>
    <row r="790" spans="1:19">
      <c r="A790">
        <v>2025</v>
      </c>
      <c r="B790" t="s">
        <v>12</v>
      </c>
      <c r="C790" t="s">
        <v>9</v>
      </c>
      <c r="D790">
        <v>4</v>
      </c>
      <c r="G790" s="3"/>
      <c r="N790">
        <v>47.57</v>
      </c>
      <c r="O790">
        <v>36.14</v>
      </c>
      <c r="P790">
        <v>26.66</v>
      </c>
      <c r="Q790">
        <v>44.91</v>
      </c>
      <c r="R790">
        <v>36.409999999999997</v>
      </c>
      <c r="S790">
        <v>9.6460000000000008</v>
      </c>
    </row>
    <row r="791" spans="1:19">
      <c r="A791">
        <v>2025</v>
      </c>
      <c r="B791" t="s">
        <v>12</v>
      </c>
      <c r="C791" t="s">
        <v>9</v>
      </c>
      <c r="D791">
        <v>5</v>
      </c>
      <c r="G791" s="3"/>
      <c r="N791">
        <v>43.35</v>
      </c>
      <c r="O791">
        <v>40.380000000000003</v>
      </c>
      <c r="P791">
        <v>23.15</v>
      </c>
      <c r="Q791">
        <v>46.55</v>
      </c>
      <c r="R791">
        <v>29.82</v>
      </c>
      <c r="S791">
        <v>13.074999999999999</v>
      </c>
    </row>
    <row r="792" spans="1:19">
      <c r="A792">
        <v>2025</v>
      </c>
      <c r="B792" t="s">
        <v>12</v>
      </c>
      <c r="C792" t="s">
        <v>9</v>
      </c>
      <c r="D792">
        <v>5</v>
      </c>
      <c r="G792" s="3"/>
      <c r="N792">
        <v>65.39</v>
      </c>
      <c r="O792">
        <v>15.57</v>
      </c>
      <c r="P792">
        <v>28.41</v>
      </c>
      <c r="Q792">
        <v>32.4</v>
      </c>
      <c r="R792">
        <v>61.27</v>
      </c>
      <c r="S792">
        <v>11.914</v>
      </c>
    </row>
    <row r="793" spans="1:19">
      <c r="A793">
        <v>2025</v>
      </c>
      <c r="B793" t="s">
        <v>12</v>
      </c>
      <c r="C793" t="s">
        <v>9</v>
      </c>
      <c r="D793">
        <v>6</v>
      </c>
      <c r="G793" s="3"/>
      <c r="N793">
        <v>43.48</v>
      </c>
      <c r="O793">
        <v>39.82</v>
      </c>
      <c r="P793">
        <v>26.16</v>
      </c>
      <c r="Q793">
        <v>47.64</v>
      </c>
      <c r="R793">
        <v>33.299999999999997</v>
      </c>
      <c r="S793">
        <v>10.18</v>
      </c>
    </row>
    <row r="794" spans="1:19">
      <c r="A794">
        <v>2025</v>
      </c>
      <c r="B794" t="s">
        <v>12</v>
      </c>
      <c r="C794" t="s">
        <v>9</v>
      </c>
      <c r="D794">
        <v>6</v>
      </c>
      <c r="G794" s="3"/>
      <c r="N794">
        <v>56.1</v>
      </c>
      <c r="O794">
        <v>30.44</v>
      </c>
      <c r="P794">
        <v>27.06</v>
      </c>
      <c r="Q794">
        <v>40.729999999999997</v>
      </c>
      <c r="R794">
        <v>41.63</v>
      </c>
      <c r="S794">
        <v>11.154</v>
      </c>
    </row>
    <row r="795" spans="1:19">
      <c r="A795">
        <v>2025</v>
      </c>
      <c r="B795" t="s">
        <v>12</v>
      </c>
      <c r="C795" t="s">
        <v>9</v>
      </c>
      <c r="D795">
        <v>7</v>
      </c>
      <c r="G795" s="3"/>
      <c r="N795">
        <v>40.04</v>
      </c>
      <c r="O795">
        <v>46.5</v>
      </c>
      <c r="P795">
        <v>25.68</v>
      </c>
      <c r="Q795">
        <v>53.12</v>
      </c>
      <c r="R795">
        <v>28.91</v>
      </c>
      <c r="S795">
        <v>9.1460000000000008</v>
      </c>
    </row>
    <row r="796" spans="1:19">
      <c r="A796">
        <v>2025</v>
      </c>
      <c r="B796" t="s">
        <v>12</v>
      </c>
      <c r="C796" t="s">
        <v>9</v>
      </c>
      <c r="D796">
        <v>7</v>
      </c>
      <c r="G796" s="3"/>
      <c r="N796">
        <v>53.82</v>
      </c>
      <c r="O796">
        <v>35.4</v>
      </c>
      <c r="P796">
        <v>27.13</v>
      </c>
      <c r="Q796">
        <v>44.6</v>
      </c>
      <c r="R796">
        <v>37.46</v>
      </c>
      <c r="S796">
        <v>9.5909999999999993</v>
      </c>
    </row>
    <row r="797" spans="1:19">
      <c r="A797">
        <v>2025</v>
      </c>
      <c r="B797" t="s">
        <v>12</v>
      </c>
      <c r="C797" t="s">
        <v>9</v>
      </c>
      <c r="D797">
        <v>8</v>
      </c>
      <c r="G797" s="3"/>
      <c r="N797">
        <v>35.18</v>
      </c>
      <c r="O797">
        <v>40.520000000000003</v>
      </c>
      <c r="P797">
        <v>18.920000000000002</v>
      </c>
      <c r="Q797">
        <v>44.72</v>
      </c>
      <c r="R797">
        <v>25.03</v>
      </c>
      <c r="S797">
        <v>9.0310000000000006</v>
      </c>
    </row>
    <row r="798" spans="1:19">
      <c r="A798">
        <v>2025</v>
      </c>
      <c r="B798" t="s">
        <v>12</v>
      </c>
      <c r="C798" t="s">
        <v>9</v>
      </c>
      <c r="D798">
        <v>8</v>
      </c>
      <c r="G798" s="3"/>
      <c r="N798">
        <v>53.91</v>
      </c>
      <c r="O798">
        <v>34.43</v>
      </c>
      <c r="P798">
        <v>28.43</v>
      </c>
      <c r="Q798">
        <v>44.65</v>
      </c>
      <c r="R798">
        <v>39.56</v>
      </c>
      <c r="S798">
        <v>8.9359999999999999</v>
      </c>
    </row>
    <row r="799" spans="1:19">
      <c r="A799">
        <v>2025</v>
      </c>
      <c r="B799" t="s">
        <v>12</v>
      </c>
      <c r="C799" t="s">
        <v>9</v>
      </c>
      <c r="D799">
        <v>9</v>
      </c>
      <c r="G799" s="3"/>
      <c r="N799">
        <v>41.7</v>
      </c>
      <c r="O799">
        <v>44.12</v>
      </c>
      <c r="P799">
        <v>26.7</v>
      </c>
      <c r="Q799">
        <v>51.57</v>
      </c>
      <c r="R799">
        <v>31.18</v>
      </c>
      <c r="S799">
        <v>9.8469999999999995</v>
      </c>
    </row>
    <row r="800" spans="1:19">
      <c r="A800">
        <v>2025</v>
      </c>
      <c r="B800" t="s">
        <v>12</v>
      </c>
      <c r="C800" t="s">
        <v>9</v>
      </c>
      <c r="D800">
        <v>9</v>
      </c>
      <c r="G800" s="3"/>
      <c r="N800">
        <v>61.63</v>
      </c>
      <c r="O800">
        <v>23.29</v>
      </c>
      <c r="P800">
        <v>28.48</v>
      </c>
      <c r="Q800">
        <v>36.79</v>
      </c>
      <c r="R800">
        <v>50.73</v>
      </c>
      <c r="S800">
        <v>10.169</v>
      </c>
    </row>
    <row r="801" spans="1:19">
      <c r="A801">
        <v>2025</v>
      </c>
      <c r="B801" t="s">
        <v>12</v>
      </c>
      <c r="C801" t="s">
        <v>9</v>
      </c>
      <c r="D801">
        <v>10</v>
      </c>
      <c r="G801" s="3"/>
      <c r="N801">
        <v>39.19</v>
      </c>
      <c r="O801">
        <v>42.73</v>
      </c>
      <c r="P801">
        <v>20.36</v>
      </c>
      <c r="Q801">
        <v>47.34</v>
      </c>
      <c r="R801">
        <v>25.48</v>
      </c>
      <c r="S801">
        <v>8.8490000000000002</v>
      </c>
    </row>
    <row r="802" spans="1:19">
      <c r="A802">
        <v>2025</v>
      </c>
      <c r="B802" t="s">
        <v>12</v>
      </c>
      <c r="C802" t="s">
        <v>9</v>
      </c>
      <c r="D802">
        <v>10</v>
      </c>
      <c r="G802" s="3"/>
      <c r="N802">
        <v>40.06</v>
      </c>
      <c r="O802">
        <v>44.46</v>
      </c>
      <c r="P802">
        <v>25.08</v>
      </c>
      <c r="Q802">
        <v>51.05</v>
      </c>
      <c r="R802">
        <v>29.42</v>
      </c>
      <c r="S802">
        <v>8.5879999999999992</v>
      </c>
    </row>
    <row r="803" spans="1:19">
      <c r="A803">
        <v>2025</v>
      </c>
      <c r="B803" t="s">
        <v>12</v>
      </c>
      <c r="C803" t="s">
        <v>9</v>
      </c>
      <c r="D803">
        <v>11</v>
      </c>
      <c r="G803" s="3"/>
      <c r="N803">
        <v>42.75</v>
      </c>
      <c r="O803">
        <v>43.89</v>
      </c>
      <c r="P803">
        <v>25.37</v>
      </c>
      <c r="Q803">
        <v>50.7</v>
      </c>
      <c r="R803">
        <v>30.03</v>
      </c>
      <c r="S803">
        <v>12.119</v>
      </c>
    </row>
    <row r="804" spans="1:19">
      <c r="A804">
        <v>2025</v>
      </c>
      <c r="B804" t="s">
        <v>12</v>
      </c>
      <c r="C804" t="s">
        <v>9</v>
      </c>
      <c r="D804">
        <v>11</v>
      </c>
      <c r="G804" s="3"/>
      <c r="N804">
        <v>63.78</v>
      </c>
      <c r="O804">
        <v>14.43</v>
      </c>
      <c r="P804">
        <v>33.590000000000003</v>
      </c>
      <c r="Q804">
        <v>36.56</v>
      </c>
      <c r="R804">
        <v>66.760000000000005</v>
      </c>
      <c r="S804">
        <v>12.05</v>
      </c>
    </row>
    <row r="805" spans="1:19">
      <c r="A805">
        <v>2025</v>
      </c>
      <c r="B805" t="s">
        <v>12</v>
      </c>
      <c r="C805" t="s">
        <v>9</v>
      </c>
      <c r="D805">
        <v>12</v>
      </c>
      <c r="G805" s="3"/>
      <c r="N805">
        <v>45.55</v>
      </c>
      <c r="O805">
        <v>41.15</v>
      </c>
      <c r="P805">
        <v>23.79</v>
      </c>
      <c r="Q805">
        <v>47.54</v>
      </c>
      <c r="R805">
        <v>30.03</v>
      </c>
      <c r="S805">
        <v>11.1</v>
      </c>
    </row>
    <row r="806" spans="1:19">
      <c r="A806">
        <v>2025</v>
      </c>
      <c r="B806" t="s">
        <v>12</v>
      </c>
      <c r="C806" t="s">
        <v>9</v>
      </c>
      <c r="D806">
        <v>12</v>
      </c>
      <c r="G806" s="3"/>
      <c r="N806">
        <v>52.38</v>
      </c>
      <c r="O806">
        <v>32.76</v>
      </c>
      <c r="P806">
        <v>22.82</v>
      </c>
      <c r="Q806">
        <v>39.93</v>
      </c>
      <c r="R806">
        <v>34.86</v>
      </c>
      <c r="S806">
        <v>12.308</v>
      </c>
    </row>
    <row r="807" spans="1:19">
      <c r="A807">
        <v>2025</v>
      </c>
      <c r="B807" t="s">
        <v>12</v>
      </c>
      <c r="C807" t="s">
        <v>9</v>
      </c>
      <c r="D807">
        <v>13</v>
      </c>
      <c r="G807" s="3"/>
      <c r="N807">
        <v>41.12</v>
      </c>
      <c r="O807">
        <v>42.44</v>
      </c>
      <c r="P807">
        <v>24.02</v>
      </c>
      <c r="Q807">
        <v>48.76</v>
      </c>
      <c r="R807">
        <v>29.51</v>
      </c>
      <c r="S807">
        <v>9.9610000000000003</v>
      </c>
    </row>
    <row r="808" spans="1:19">
      <c r="A808">
        <v>2025</v>
      </c>
      <c r="B808" t="s">
        <v>12</v>
      </c>
      <c r="C808" t="s">
        <v>9</v>
      </c>
      <c r="D808">
        <v>13</v>
      </c>
      <c r="G808" s="3"/>
      <c r="N808">
        <v>52.31</v>
      </c>
      <c r="O808">
        <v>34.799999999999997</v>
      </c>
      <c r="P808">
        <v>25.92</v>
      </c>
      <c r="Q808">
        <v>43.39</v>
      </c>
      <c r="R808">
        <v>36.68</v>
      </c>
      <c r="S808">
        <v>9.6359999999999992</v>
      </c>
    </row>
    <row r="809" spans="1:19">
      <c r="A809">
        <v>2025</v>
      </c>
      <c r="B809" t="s">
        <v>12</v>
      </c>
      <c r="C809" t="s">
        <v>9</v>
      </c>
      <c r="D809">
        <v>14</v>
      </c>
      <c r="G809" s="3"/>
      <c r="N809">
        <v>40.25</v>
      </c>
      <c r="O809">
        <v>42.55</v>
      </c>
      <c r="P809">
        <v>22.48</v>
      </c>
      <c r="Q809">
        <v>48.13</v>
      </c>
      <c r="R809">
        <v>27.85</v>
      </c>
      <c r="S809">
        <v>10.234</v>
      </c>
    </row>
    <row r="810" spans="1:19">
      <c r="A810">
        <v>2025</v>
      </c>
      <c r="B810" t="s">
        <v>12</v>
      </c>
      <c r="C810" t="s">
        <v>9</v>
      </c>
      <c r="D810">
        <v>14</v>
      </c>
      <c r="G810" s="3"/>
      <c r="N810">
        <v>67.56</v>
      </c>
      <c r="O810">
        <v>11.88</v>
      </c>
      <c r="P810">
        <v>32.47</v>
      </c>
      <c r="Q810">
        <v>34.58</v>
      </c>
      <c r="R810">
        <v>69.900000000000006</v>
      </c>
      <c r="S810">
        <v>10.365</v>
      </c>
    </row>
    <row r="811" spans="1:19">
      <c r="A811">
        <v>2025</v>
      </c>
      <c r="B811" t="s">
        <v>12</v>
      </c>
      <c r="C811" t="s">
        <v>9</v>
      </c>
      <c r="D811">
        <v>15</v>
      </c>
      <c r="G811" s="3"/>
      <c r="N811">
        <v>42.13</v>
      </c>
      <c r="O811">
        <v>42.04</v>
      </c>
      <c r="P811">
        <v>25.84</v>
      </c>
      <c r="Q811">
        <v>49.35</v>
      </c>
      <c r="R811">
        <v>31.57</v>
      </c>
      <c r="S811">
        <v>7.9420000000000002</v>
      </c>
    </row>
    <row r="812" spans="1:19">
      <c r="A812">
        <v>2025</v>
      </c>
      <c r="B812" t="s">
        <v>12</v>
      </c>
      <c r="C812" t="s">
        <v>9</v>
      </c>
      <c r="D812">
        <v>15</v>
      </c>
      <c r="G812" s="3"/>
      <c r="N812">
        <v>47.51</v>
      </c>
      <c r="O812">
        <v>40.409999999999997</v>
      </c>
      <c r="P812">
        <v>27.22</v>
      </c>
      <c r="Q812">
        <v>48.72</v>
      </c>
      <c r="R812">
        <v>33.97</v>
      </c>
      <c r="S812">
        <v>7.9219999999999997</v>
      </c>
    </row>
    <row r="813" spans="1:19">
      <c r="A813">
        <v>2025</v>
      </c>
      <c r="B813" t="s">
        <v>12</v>
      </c>
      <c r="C813" t="s">
        <v>10</v>
      </c>
      <c r="D813">
        <v>1</v>
      </c>
      <c r="G813" s="3"/>
      <c r="N813">
        <v>28.62</v>
      </c>
      <c r="O813">
        <v>44.35</v>
      </c>
      <c r="P813">
        <v>18.79</v>
      </c>
      <c r="Q813">
        <v>48.16</v>
      </c>
      <c r="R813">
        <v>22.96</v>
      </c>
      <c r="S813">
        <v>8.8949999999999996</v>
      </c>
    </row>
    <row r="814" spans="1:19">
      <c r="A814">
        <v>2025</v>
      </c>
      <c r="B814" t="s">
        <v>12</v>
      </c>
      <c r="C814" t="s">
        <v>10</v>
      </c>
      <c r="D814">
        <v>1</v>
      </c>
      <c r="G814" s="3"/>
      <c r="N814">
        <v>57.05</v>
      </c>
      <c r="O814">
        <v>31.02</v>
      </c>
      <c r="P814">
        <v>30.73</v>
      </c>
      <c r="Q814">
        <v>43.67</v>
      </c>
      <c r="R814">
        <v>44.73</v>
      </c>
      <c r="S814">
        <v>10.292</v>
      </c>
    </row>
    <row r="815" spans="1:19">
      <c r="A815">
        <v>2025</v>
      </c>
      <c r="B815" t="s">
        <v>12</v>
      </c>
      <c r="C815" t="s">
        <v>10</v>
      </c>
      <c r="D815">
        <v>2</v>
      </c>
      <c r="G815" s="3"/>
      <c r="N815">
        <v>34.340000000000003</v>
      </c>
      <c r="O815">
        <v>41.84</v>
      </c>
      <c r="P815">
        <v>16.96</v>
      </c>
      <c r="Q815">
        <v>45.15</v>
      </c>
      <c r="R815">
        <v>22.06</v>
      </c>
      <c r="S815">
        <v>9.1389999999999993</v>
      </c>
    </row>
    <row r="816" spans="1:19">
      <c r="A816">
        <v>2025</v>
      </c>
      <c r="B816" t="s">
        <v>12</v>
      </c>
      <c r="C816" t="s">
        <v>10</v>
      </c>
      <c r="D816">
        <v>2</v>
      </c>
      <c r="G816" s="3"/>
      <c r="N816">
        <v>51.37</v>
      </c>
      <c r="O816">
        <v>39.93</v>
      </c>
      <c r="P816">
        <v>30.65</v>
      </c>
      <c r="Q816">
        <v>50.34</v>
      </c>
      <c r="R816">
        <v>37.51</v>
      </c>
      <c r="S816">
        <v>10.481999999999999</v>
      </c>
    </row>
    <row r="817" spans="1:19">
      <c r="A817">
        <v>2025</v>
      </c>
      <c r="B817" t="s">
        <v>12</v>
      </c>
      <c r="C817" t="s">
        <v>10</v>
      </c>
      <c r="D817">
        <v>3</v>
      </c>
      <c r="G817" s="3"/>
      <c r="N817">
        <v>42</v>
      </c>
      <c r="O817">
        <v>42.15</v>
      </c>
      <c r="P817">
        <v>21.74</v>
      </c>
      <c r="Q817">
        <v>47.43</v>
      </c>
      <c r="R817">
        <v>27.28</v>
      </c>
      <c r="S817">
        <v>8.9600000000000009</v>
      </c>
    </row>
    <row r="818" spans="1:19">
      <c r="A818">
        <v>2025</v>
      </c>
      <c r="B818" t="s">
        <v>12</v>
      </c>
      <c r="C818" t="s">
        <v>10</v>
      </c>
      <c r="D818">
        <v>3</v>
      </c>
      <c r="G818" s="3"/>
      <c r="N818">
        <v>43.22</v>
      </c>
      <c r="O818">
        <v>42.82</v>
      </c>
      <c r="P818">
        <v>25.18</v>
      </c>
      <c r="Q818">
        <v>49.67</v>
      </c>
      <c r="R818">
        <v>30.46</v>
      </c>
      <c r="S818">
        <v>8.7959999999999994</v>
      </c>
    </row>
    <row r="819" spans="1:19">
      <c r="A819">
        <v>2025</v>
      </c>
      <c r="B819" t="s">
        <v>12</v>
      </c>
      <c r="C819" t="s">
        <v>10</v>
      </c>
      <c r="D819">
        <v>4</v>
      </c>
      <c r="G819" s="3"/>
      <c r="N819">
        <v>42.92</v>
      </c>
      <c r="O819">
        <v>39.06</v>
      </c>
      <c r="P819">
        <v>21.59</v>
      </c>
      <c r="Q819">
        <v>44.63</v>
      </c>
      <c r="R819">
        <v>28.93</v>
      </c>
      <c r="S819">
        <v>8.1920000000000002</v>
      </c>
    </row>
    <row r="820" spans="1:19">
      <c r="A820">
        <v>2025</v>
      </c>
      <c r="B820" t="s">
        <v>12</v>
      </c>
      <c r="C820" t="s">
        <v>10</v>
      </c>
      <c r="D820">
        <v>4</v>
      </c>
      <c r="G820" s="3"/>
      <c r="N820">
        <v>57.85</v>
      </c>
      <c r="O820">
        <v>27.35</v>
      </c>
      <c r="P820">
        <v>25.81</v>
      </c>
      <c r="Q820">
        <v>37.6</v>
      </c>
      <c r="R820">
        <v>43.34</v>
      </c>
      <c r="S820">
        <v>7.8789999999999996</v>
      </c>
    </row>
    <row r="821" spans="1:19">
      <c r="A821">
        <v>2025</v>
      </c>
      <c r="B821" t="s">
        <v>12</v>
      </c>
      <c r="C821" t="s">
        <v>10</v>
      </c>
      <c r="D821">
        <v>5</v>
      </c>
      <c r="G821" s="3"/>
      <c r="N821">
        <v>44.59</v>
      </c>
      <c r="O821">
        <v>37.64</v>
      </c>
      <c r="P821">
        <v>24.67</v>
      </c>
      <c r="Q821">
        <v>45.01</v>
      </c>
      <c r="R821">
        <v>33.24</v>
      </c>
      <c r="S821">
        <v>8.3219999999999992</v>
      </c>
    </row>
    <row r="822" spans="1:19">
      <c r="A822">
        <v>2025</v>
      </c>
      <c r="B822" t="s">
        <v>12</v>
      </c>
      <c r="C822" t="s">
        <v>10</v>
      </c>
      <c r="D822">
        <v>5</v>
      </c>
      <c r="G822" s="3"/>
      <c r="N822">
        <v>55.45</v>
      </c>
      <c r="O822">
        <v>27.36</v>
      </c>
      <c r="P822">
        <v>26.66</v>
      </c>
      <c r="Q822">
        <v>38.21</v>
      </c>
      <c r="R822">
        <v>44.26</v>
      </c>
      <c r="S822">
        <v>8.3940000000000001</v>
      </c>
    </row>
    <row r="823" spans="1:19">
      <c r="A823">
        <v>2025</v>
      </c>
      <c r="B823" t="s">
        <v>12</v>
      </c>
      <c r="C823" t="s">
        <v>10</v>
      </c>
      <c r="D823">
        <v>6</v>
      </c>
      <c r="G823" s="3"/>
      <c r="N823">
        <v>35.24</v>
      </c>
      <c r="O823">
        <v>42.27</v>
      </c>
      <c r="P823">
        <v>21.74</v>
      </c>
      <c r="Q823">
        <v>47.53</v>
      </c>
      <c r="R823">
        <v>27.22</v>
      </c>
      <c r="S823">
        <v>10.925000000000001</v>
      </c>
    </row>
    <row r="824" spans="1:19">
      <c r="A824">
        <v>2025</v>
      </c>
      <c r="B824" t="s">
        <v>12</v>
      </c>
      <c r="C824" t="s">
        <v>10</v>
      </c>
      <c r="D824">
        <v>6</v>
      </c>
      <c r="G824" s="3"/>
      <c r="N824">
        <v>54.95</v>
      </c>
      <c r="O824">
        <v>35.29</v>
      </c>
      <c r="P824">
        <v>23.6</v>
      </c>
      <c r="Q824">
        <v>42.45</v>
      </c>
      <c r="R824">
        <v>33.770000000000003</v>
      </c>
      <c r="S824">
        <v>9.2240000000000002</v>
      </c>
    </row>
    <row r="825" spans="1:19">
      <c r="A825">
        <v>2025</v>
      </c>
      <c r="B825" t="s">
        <v>12</v>
      </c>
      <c r="C825" t="s">
        <v>10</v>
      </c>
      <c r="D825">
        <v>7</v>
      </c>
      <c r="G825" s="3"/>
      <c r="N825">
        <v>44.63</v>
      </c>
      <c r="O825">
        <v>39.85</v>
      </c>
      <c r="P825">
        <v>22.1</v>
      </c>
      <c r="Q825">
        <v>45.57</v>
      </c>
      <c r="R825">
        <v>29.01</v>
      </c>
      <c r="S825">
        <v>9.9280000000000008</v>
      </c>
    </row>
    <row r="826" spans="1:19">
      <c r="A826">
        <v>2025</v>
      </c>
      <c r="B826" t="s">
        <v>12</v>
      </c>
      <c r="C826" t="s">
        <v>10</v>
      </c>
      <c r="D826">
        <v>7</v>
      </c>
      <c r="G826" s="3"/>
      <c r="N826">
        <v>44.31</v>
      </c>
      <c r="O826">
        <v>38.630000000000003</v>
      </c>
      <c r="P826">
        <v>24.7</v>
      </c>
      <c r="Q826">
        <v>45.85</v>
      </c>
      <c r="R826">
        <v>32.590000000000003</v>
      </c>
      <c r="S826">
        <v>9.6929999999999996</v>
      </c>
    </row>
    <row r="827" spans="1:19">
      <c r="A827">
        <v>2025</v>
      </c>
      <c r="B827" t="s">
        <v>12</v>
      </c>
      <c r="C827" t="s">
        <v>10</v>
      </c>
      <c r="D827">
        <v>8</v>
      </c>
      <c r="G827" s="3"/>
      <c r="N827">
        <v>45.39</v>
      </c>
      <c r="O827">
        <v>39.090000000000003</v>
      </c>
      <c r="P827">
        <v>25.63</v>
      </c>
      <c r="Q827">
        <v>46.75</v>
      </c>
      <c r="R827">
        <v>33.25</v>
      </c>
      <c r="S827">
        <v>8.1989999999999998</v>
      </c>
    </row>
    <row r="828" spans="1:19">
      <c r="A828">
        <v>2025</v>
      </c>
      <c r="B828" t="s">
        <v>12</v>
      </c>
      <c r="C828" t="s">
        <v>10</v>
      </c>
      <c r="D828">
        <v>8</v>
      </c>
      <c r="G828" s="3"/>
      <c r="N828">
        <v>63.1</v>
      </c>
      <c r="O828">
        <v>16.77</v>
      </c>
      <c r="P828">
        <v>28.85</v>
      </c>
      <c r="Q828">
        <v>33.369999999999997</v>
      </c>
      <c r="R828">
        <v>59.84</v>
      </c>
      <c r="S828">
        <v>9.9909999999999997</v>
      </c>
    </row>
    <row r="829" spans="1:19">
      <c r="A829">
        <v>2025</v>
      </c>
      <c r="B829" t="s">
        <v>12</v>
      </c>
      <c r="C829" t="s">
        <v>10</v>
      </c>
      <c r="D829">
        <v>9</v>
      </c>
      <c r="G829" s="3"/>
      <c r="N829">
        <v>43.03</v>
      </c>
      <c r="O829">
        <v>36.409999999999997</v>
      </c>
      <c r="P829">
        <v>19.54</v>
      </c>
      <c r="Q829">
        <v>41.32</v>
      </c>
      <c r="R829">
        <v>28.22</v>
      </c>
      <c r="S829">
        <v>10.436999999999999</v>
      </c>
    </row>
    <row r="830" spans="1:19">
      <c r="A830">
        <v>2025</v>
      </c>
      <c r="B830" t="s">
        <v>12</v>
      </c>
      <c r="C830" t="s">
        <v>10</v>
      </c>
      <c r="D830">
        <v>9</v>
      </c>
      <c r="G830" s="3"/>
      <c r="N830">
        <v>52.96</v>
      </c>
      <c r="O830">
        <v>32.35</v>
      </c>
      <c r="P830">
        <v>25.39</v>
      </c>
      <c r="Q830">
        <v>41.12</v>
      </c>
      <c r="R830">
        <v>38.119999999999997</v>
      </c>
      <c r="S830">
        <v>9.6839999999999993</v>
      </c>
    </row>
    <row r="831" spans="1:19">
      <c r="A831">
        <v>2025</v>
      </c>
      <c r="B831" t="s">
        <v>12</v>
      </c>
      <c r="C831" t="s">
        <v>10</v>
      </c>
      <c r="D831">
        <v>10</v>
      </c>
      <c r="G831" s="3"/>
      <c r="N831">
        <v>39.630000000000003</v>
      </c>
      <c r="O831">
        <v>42.22</v>
      </c>
      <c r="P831">
        <v>21.1</v>
      </c>
      <c r="Q831">
        <v>47.2</v>
      </c>
      <c r="R831">
        <v>26.56</v>
      </c>
      <c r="S831">
        <v>12.09</v>
      </c>
    </row>
    <row r="832" spans="1:19">
      <c r="A832">
        <v>2025</v>
      </c>
      <c r="B832" t="s">
        <v>12</v>
      </c>
      <c r="C832" t="s">
        <v>10</v>
      </c>
      <c r="D832">
        <v>10</v>
      </c>
      <c r="G832" s="3"/>
      <c r="N832">
        <v>46.79</v>
      </c>
      <c r="O832">
        <v>38.630000000000003</v>
      </c>
      <c r="P832">
        <v>24.89</v>
      </c>
      <c r="Q832">
        <v>45.95</v>
      </c>
      <c r="R832">
        <v>32.79</v>
      </c>
      <c r="S832">
        <v>11.19</v>
      </c>
    </row>
    <row r="833" spans="1:19">
      <c r="A833">
        <v>2025</v>
      </c>
      <c r="B833" t="s">
        <v>12</v>
      </c>
      <c r="C833" t="s">
        <v>10</v>
      </c>
      <c r="D833">
        <v>11</v>
      </c>
      <c r="G833" s="3"/>
      <c r="N833">
        <v>37.11</v>
      </c>
      <c r="O833">
        <v>38.61</v>
      </c>
      <c r="P833">
        <v>19.059999999999999</v>
      </c>
      <c r="Q833">
        <v>43.06</v>
      </c>
      <c r="R833">
        <v>26.28</v>
      </c>
      <c r="S833">
        <v>8.43</v>
      </c>
    </row>
    <row r="834" spans="1:19">
      <c r="A834">
        <v>2025</v>
      </c>
      <c r="B834" t="s">
        <v>12</v>
      </c>
      <c r="C834" t="s">
        <v>10</v>
      </c>
      <c r="D834">
        <v>11</v>
      </c>
      <c r="G834" s="3"/>
      <c r="N834">
        <v>55.35</v>
      </c>
      <c r="O834">
        <v>29.81</v>
      </c>
      <c r="P834">
        <v>26.02</v>
      </c>
      <c r="Q834">
        <v>39.57</v>
      </c>
      <c r="R834">
        <v>41.12</v>
      </c>
      <c r="S834">
        <v>8.5389999999999997</v>
      </c>
    </row>
    <row r="835" spans="1:19">
      <c r="A835">
        <v>2025</v>
      </c>
      <c r="B835" t="s">
        <v>12</v>
      </c>
      <c r="C835" t="s">
        <v>10</v>
      </c>
      <c r="D835">
        <v>12</v>
      </c>
      <c r="G835" s="3"/>
      <c r="N835">
        <v>34.29</v>
      </c>
      <c r="O835">
        <v>39.24</v>
      </c>
      <c r="P835">
        <v>18.600000000000001</v>
      </c>
      <c r="Q835">
        <v>43.42</v>
      </c>
      <c r="R835">
        <v>25.36</v>
      </c>
      <c r="S835">
        <v>8.1240000000000006</v>
      </c>
    </row>
    <row r="836" spans="1:19">
      <c r="A836">
        <v>2025</v>
      </c>
      <c r="B836" t="s">
        <v>12</v>
      </c>
      <c r="C836" t="s">
        <v>10</v>
      </c>
      <c r="D836">
        <v>12</v>
      </c>
      <c r="G836" s="3"/>
      <c r="N836">
        <v>43.33</v>
      </c>
      <c r="O836">
        <v>40.909999999999997</v>
      </c>
      <c r="P836">
        <v>25.65</v>
      </c>
      <c r="Q836">
        <v>48.29</v>
      </c>
      <c r="R836">
        <v>32.090000000000003</v>
      </c>
      <c r="S836">
        <v>7.5359999999999996</v>
      </c>
    </row>
    <row r="837" spans="1:19">
      <c r="A837">
        <v>2025</v>
      </c>
      <c r="B837" t="s">
        <v>12</v>
      </c>
      <c r="C837" t="s">
        <v>10</v>
      </c>
      <c r="D837">
        <v>13</v>
      </c>
      <c r="G837" s="3"/>
      <c r="N837">
        <v>43.02</v>
      </c>
      <c r="O837">
        <v>38.18</v>
      </c>
      <c r="P837">
        <v>22.7</v>
      </c>
      <c r="Q837">
        <v>44.42</v>
      </c>
      <c r="R837">
        <v>30.73</v>
      </c>
      <c r="S837">
        <v>9.08</v>
      </c>
    </row>
    <row r="838" spans="1:19">
      <c r="A838">
        <v>2025</v>
      </c>
      <c r="B838" t="s">
        <v>12</v>
      </c>
      <c r="C838" t="s">
        <v>10</v>
      </c>
      <c r="D838">
        <v>13</v>
      </c>
      <c r="G838" s="3"/>
      <c r="N838">
        <v>36.409999999999997</v>
      </c>
      <c r="O838">
        <v>40.68</v>
      </c>
      <c r="P838">
        <v>21.74</v>
      </c>
      <c r="Q838">
        <v>46.13</v>
      </c>
      <c r="R838">
        <v>28.11</v>
      </c>
      <c r="S838">
        <v>8.7089999999999996</v>
      </c>
    </row>
    <row r="839" spans="1:19">
      <c r="A839">
        <v>2025</v>
      </c>
      <c r="B839" t="s">
        <v>12</v>
      </c>
      <c r="C839" t="s">
        <v>10</v>
      </c>
      <c r="D839">
        <v>14</v>
      </c>
      <c r="G839" s="3"/>
      <c r="N839">
        <v>39.299999999999997</v>
      </c>
      <c r="O839">
        <v>41.24</v>
      </c>
      <c r="P839">
        <v>21.83</v>
      </c>
      <c r="Q839">
        <v>46.66</v>
      </c>
      <c r="R839">
        <v>27.89</v>
      </c>
      <c r="S839">
        <v>9.7240000000000002</v>
      </c>
    </row>
    <row r="840" spans="1:19">
      <c r="A840">
        <v>2025</v>
      </c>
      <c r="B840" t="s">
        <v>12</v>
      </c>
      <c r="C840" t="s">
        <v>10</v>
      </c>
      <c r="D840">
        <v>14</v>
      </c>
      <c r="G840" s="3"/>
      <c r="N840">
        <v>50.71</v>
      </c>
      <c r="O840">
        <v>37.92</v>
      </c>
      <c r="P840">
        <v>26.75</v>
      </c>
      <c r="Q840">
        <v>46.41</v>
      </c>
      <c r="R840">
        <v>35.200000000000003</v>
      </c>
      <c r="S840">
        <v>9.0489999999999995</v>
      </c>
    </row>
    <row r="841" spans="1:19">
      <c r="A841">
        <v>2025</v>
      </c>
      <c r="B841" t="s">
        <v>12</v>
      </c>
      <c r="C841" t="s">
        <v>10</v>
      </c>
      <c r="D841">
        <v>15</v>
      </c>
      <c r="G841" s="3"/>
      <c r="N841">
        <v>38.6</v>
      </c>
      <c r="O841">
        <v>45.49</v>
      </c>
      <c r="P841">
        <v>25.61</v>
      </c>
      <c r="Q841">
        <v>52.2</v>
      </c>
      <c r="R841">
        <v>29.38</v>
      </c>
      <c r="S841">
        <v>8.3409999999999993</v>
      </c>
    </row>
    <row r="842" spans="1:19">
      <c r="A842">
        <v>2025</v>
      </c>
      <c r="B842" t="s">
        <v>12</v>
      </c>
      <c r="C842" t="s">
        <v>10</v>
      </c>
      <c r="D842">
        <v>15</v>
      </c>
      <c r="G842" s="3"/>
      <c r="N842">
        <v>56.98</v>
      </c>
      <c r="O842">
        <v>30.82</v>
      </c>
      <c r="P842">
        <v>30.18</v>
      </c>
      <c r="Q842">
        <v>43.14</v>
      </c>
      <c r="R842">
        <v>44.4</v>
      </c>
      <c r="S842">
        <v>8.09</v>
      </c>
    </row>
    <row r="843" spans="1:19">
      <c r="A843">
        <v>2025</v>
      </c>
      <c r="B843" t="s">
        <v>12</v>
      </c>
      <c r="C843" t="s">
        <v>7</v>
      </c>
      <c r="D843">
        <v>1</v>
      </c>
      <c r="G843" s="3"/>
      <c r="N843">
        <v>41.3</v>
      </c>
      <c r="O843">
        <v>40.33</v>
      </c>
      <c r="P843">
        <v>22.44</v>
      </c>
      <c r="Q843">
        <v>46.15</v>
      </c>
      <c r="R843">
        <v>29.1</v>
      </c>
      <c r="S843">
        <v>9.532</v>
      </c>
    </row>
    <row r="844" spans="1:19">
      <c r="A844">
        <v>2025</v>
      </c>
      <c r="B844" t="s">
        <v>12</v>
      </c>
      <c r="C844" t="s">
        <v>7</v>
      </c>
      <c r="D844">
        <v>1</v>
      </c>
      <c r="G844" s="3"/>
      <c r="N844">
        <v>46.62</v>
      </c>
      <c r="O844">
        <v>42.04</v>
      </c>
      <c r="P844">
        <v>29.37</v>
      </c>
      <c r="Q844">
        <v>51.28</v>
      </c>
      <c r="R844">
        <v>34.94</v>
      </c>
      <c r="S844">
        <v>10.573</v>
      </c>
    </row>
    <row r="845" spans="1:19">
      <c r="A845">
        <v>2025</v>
      </c>
      <c r="B845" t="s">
        <v>12</v>
      </c>
      <c r="C845" t="s">
        <v>7</v>
      </c>
      <c r="D845">
        <v>2</v>
      </c>
      <c r="G845" s="3"/>
      <c r="N845">
        <v>41.55</v>
      </c>
      <c r="O845">
        <v>41</v>
      </c>
      <c r="P845">
        <v>26.05</v>
      </c>
      <c r="Q845">
        <v>48.58</v>
      </c>
      <c r="R845">
        <v>32.43</v>
      </c>
      <c r="S845">
        <v>8.2439999999999998</v>
      </c>
    </row>
    <row r="846" spans="1:19">
      <c r="A846">
        <v>2025</v>
      </c>
      <c r="B846" t="s">
        <v>12</v>
      </c>
      <c r="C846" t="s">
        <v>7</v>
      </c>
      <c r="D846">
        <v>2</v>
      </c>
      <c r="G846" s="3"/>
      <c r="N846">
        <v>54.55</v>
      </c>
      <c r="O846">
        <v>30.63</v>
      </c>
      <c r="P846">
        <v>27.75</v>
      </c>
      <c r="Q846">
        <v>41.33</v>
      </c>
      <c r="R846">
        <v>42.17</v>
      </c>
      <c r="S846">
        <v>8.2349999999999994</v>
      </c>
    </row>
    <row r="847" spans="1:19">
      <c r="A847">
        <v>2025</v>
      </c>
      <c r="B847" t="s">
        <v>12</v>
      </c>
      <c r="C847" t="s">
        <v>7</v>
      </c>
      <c r="D847">
        <v>3</v>
      </c>
      <c r="G847" s="3"/>
      <c r="N847">
        <v>39.5</v>
      </c>
      <c r="O847">
        <v>41.68</v>
      </c>
      <c r="P847">
        <v>21.08</v>
      </c>
      <c r="Q847">
        <v>46.71</v>
      </c>
      <c r="R847">
        <v>26.83</v>
      </c>
      <c r="S847">
        <v>9.6379999999999999</v>
      </c>
    </row>
    <row r="848" spans="1:19">
      <c r="A848">
        <v>2025</v>
      </c>
      <c r="B848" t="s">
        <v>12</v>
      </c>
      <c r="C848" t="s">
        <v>7</v>
      </c>
      <c r="D848">
        <v>3</v>
      </c>
      <c r="G848" s="3"/>
      <c r="N848">
        <v>52.81</v>
      </c>
      <c r="O848">
        <v>38.22</v>
      </c>
      <c r="P848">
        <v>29.03</v>
      </c>
      <c r="Q848">
        <v>48</v>
      </c>
      <c r="R848">
        <v>37.22</v>
      </c>
      <c r="S848">
        <v>9.0809999999999995</v>
      </c>
    </row>
    <row r="849" spans="1:19">
      <c r="A849">
        <v>2025</v>
      </c>
      <c r="B849" t="s">
        <v>12</v>
      </c>
      <c r="C849" t="s">
        <v>7</v>
      </c>
      <c r="D849">
        <v>4</v>
      </c>
      <c r="G849" s="3"/>
      <c r="N849">
        <v>40.5</v>
      </c>
      <c r="O849">
        <v>42.98</v>
      </c>
      <c r="P849">
        <v>23</v>
      </c>
      <c r="Q849">
        <v>48.75</v>
      </c>
      <c r="R849">
        <v>28.15</v>
      </c>
      <c r="S849">
        <v>8.907</v>
      </c>
    </row>
    <row r="850" spans="1:19">
      <c r="A850">
        <v>2025</v>
      </c>
      <c r="B850" t="s">
        <v>12</v>
      </c>
      <c r="C850" t="s">
        <v>7</v>
      </c>
      <c r="D850">
        <v>4</v>
      </c>
      <c r="G850" s="3"/>
      <c r="N850">
        <v>66.28</v>
      </c>
      <c r="O850">
        <v>16.59</v>
      </c>
      <c r="P850">
        <v>32.64</v>
      </c>
      <c r="Q850">
        <v>36.61</v>
      </c>
      <c r="R850">
        <v>63.06</v>
      </c>
      <c r="S850">
        <v>8.3919999999999995</v>
      </c>
    </row>
    <row r="851" spans="1:19">
      <c r="A851">
        <v>2025</v>
      </c>
      <c r="B851" t="s">
        <v>12</v>
      </c>
      <c r="C851" t="s">
        <v>7</v>
      </c>
      <c r="D851">
        <v>5</v>
      </c>
      <c r="G851" s="3"/>
      <c r="N851">
        <v>40.36</v>
      </c>
      <c r="O851">
        <v>42.78</v>
      </c>
      <c r="P851">
        <v>24.49</v>
      </c>
      <c r="Q851">
        <v>49.29</v>
      </c>
      <c r="R851">
        <v>29.79</v>
      </c>
      <c r="S851">
        <v>8.2170000000000005</v>
      </c>
    </row>
    <row r="852" spans="1:19">
      <c r="A852">
        <v>2025</v>
      </c>
      <c r="B852" t="s">
        <v>12</v>
      </c>
      <c r="C852" t="s">
        <v>7</v>
      </c>
      <c r="D852">
        <v>5</v>
      </c>
      <c r="G852" s="3"/>
      <c r="N852">
        <v>63.33</v>
      </c>
      <c r="O852">
        <v>25.49</v>
      </c>
      <c r="P852">
        <v>27.06</v>
      </c>
      <c r="Q852">
        <v>37.17</v>
      </c>
      <c r="R852">
        <v>46.71</v>
      </c>
      <c r="S852">
        <v>9.2050000000000001</v>
      </c>
    </row>
    <row r="853" spans="1:19">
      <c r="A853">
        <v>2025</v>
      </c>
      <c r="B853" t="s">
        <v>12</v>
      </c>
      <c r="C853" t="s">
        <v>7</v>
      </c>
      <c r="D853">
        <v>6</v>
      </c>
      <c r="G853" s="3"/>
      <c r="N853">
        <v>37.729999999999997</v>
      </c>
      <c r="O853">
        <v>39.94</v>
      </c>
      <c r="P853">
        <v>18.829999999999998</v>
      </c>
      <c r="Q853">
        <v>44.16</v>
      </c>
      <c r="R853">
        <v>25.24</v>
      </c>
      <c r="S853">
        <v>10.446</v>
      </c>
    </row>
    <row r="854" spans="1:19">
      <c r="A854">
        <v>2025</v>
      </c>
      <c r="B854" t="s">
        <v>12</v>
      </c>
      <c r="C854" t="s">
        <v>7</v>
      </c>
      <c r="D854">
        <v>6</v>
      </c>
      <c r="G854" s="3"/>
      <c r="N854">
        <v>42.55</v>
      </c>
      <c r="O854">
        <v>41.27</v>
      </c>
      <c r="P854">
        <v>23.99</v>
      </c>
      <c r="Q854">
        <v>47.74</v>
      </c>
      <c r="R854">
        <v>30.17</v>
      </c>
      <c r="S854">
        <v>9.8480000000000008</v>
      </c>
    </row>
    <row r="855" spans="1:19">
      <c r="A855">
        <v>2025</v>
      </c>
      <c r="B855" t="s">
        <v>12</v>
      </c>
      <c r="C855" t="s">
        <v>7</v>
      </c>
      <c r="D855">
        <v>7</v>
      </c>
      <c r="G855" s="3"/>
      <c r="N855">
        <v>42.14</v>
      </c>
      <c r="O855">
        <v>40.950000000000003</v>
      </c>
      <c r="P855">
        <v>22.54</v>
      </c>
      <c r="Q855">
        <v>46.74</v>
      </c>
      <c r="R855">
        <v>28.83</v>
      </c>
      <c r="S855">
        <v>10.223000000000001</v>
      </c>
    </row>
    <row r="856" spans="1:19">
      <c r="A856">
        <v>2025</v>
      </c>
      <c r="B856" t="s">
        <v>12</v>
      </c>
      <c r="C856" t="s">
        <v>7</v>
      </c>
      <c r="D856">
        <v>7</v>
      </c>
      <c r="G856" s="3"/>
      <c r="N856">
        <v>53.75</v>
      </c>
      <c r="O856">
        <v>30.64</v>
      </c>
      <c r="P856">
        <v>25.06</v>
      </c>
      <c r="Q856">
        <v>39.58</v>
      </c>
      <c r="R856">
        <v>39.28</v>
      </c>
      <c r="S856">
        <v>8.891</v>
      </c>
    </row>
    <row r="857" spans="1:19">
      <c r="A857">
        <v>2025</v>
      </c>
      <c r="B857" t="s">
        <v>12</v>
      </c>
      <c r="C857" t="s">
        <v>7</v>
      </c>
      <c r="D857">
        <v>8</v>
      </c>
      <c r="G857" s="3"/>
      <c r="N857">
        <v>40.96</v>
      </c>
      <c r="O857">
        <v>41.97</v>
      </c>
      <c r="P857">
        <v>23.99</v>
      </c>
      <c r="Q857">
        <v>48.35</v>
      </c>
      <c r="R857">
        <v>29.75</v>
      </c>
      <c r="S857">
        <v>10.214</v>
      </c>
    </row>
    <row r="858" spans="1:19">
      <c r="A858">
        <v>2025</v>
      </c>
      <c r="B858" t="s">
        <v>12</v>
      </c>
      <c r="C858" t="s">
        <v>7</v>
      </c>
      <c r="D858">
        <v>8</v>
      </c>
      <c r="G858" s="3"/>
      <c r="N858">
        <v>51.99</v>
      </c>
      <c r="O858">
        <v>35.700000000000003</v>
      </c>
      <c r="P858">
        <v>28.34</v>
      </c>
      <c r="Q858">
        <v>45.58</v>
      </c>
      <c r="R858">
        <v>38.450000000000003</v>
      </c>
      <c r="S858">
        <v>9.7159999999999993</v>
      </c>
    </row>
    <row r="859" spans="1:19">
      <c r="A859">
        <v>2025</v>
      </c>
      <c r="B859" t="s">
        <v>12</v>
      </c>
      <c r="C859" t="s">
        <v>7</v>
      </c>
      <c r="D859">
        <v>9</v>
      </c>
      <c r="G859" s="3"/>
      <c r="N859">
        <v>39.97</v>
      </c>
      <c r="O859">
        <v>44.52</v>
      </c>
      <c r="P859">
        <v>23.05</v>
      </c>
      <c r="Q859">
        <v>50.13</v>
      </c>
      <c r="R859">
        <v>27.37</v>
      </c>
      <c r="S859">
        <v>9.7629999999999999</v>
      </c>
    </row>
    <row r="860" spans="1:19">
      <c r="A860">
        <v>2025</v>
      </c>
      <c r="B860" t="s">
        <v>12</v>
      </c>
      <c r="C860" t="s">
        <v>7</v>
      </c>
      <c r="D860">
        <v>9</v>
      </c>
      <c r="G860" s="3"/>
      <c r="N860">
        <v>60.76</v>
      </c>
      <c r="O860">
        <v>23.2</v>
      </c>
      <c r="P860">
        <v>30.44</v>
      </c>
      <c r="Q860">
        <v>38.28</v>
      </c>
      <c r="R860">
        <v>52.69</v>
      </c>
      <c r="S860">
        <v>9.09</v>
      </c>
    </row>
    <row r="861" spans="1:19">
      <c r="A861">
        <v>2025</v>
      </c>
      <c r="B861" t="s">
        <v>12</v>
      </c>
      <c r="C861" t="s">
        <v>7</v>
      </c>
      <c r="D861">
        <v>10</v>
      </c>
      <c r="G861" s="3"/>
      <c r="N861">
        <v>37.85</v>
      </c>
      <c r="O861">
        <v>42.45</v>
      </c>
      <c r="P861">
        <v>22.02</v>
      </c>
      <c r="Q861">
        <v>47.82</v>
      </c>
      <c r="R861">
        <v>27.41</v>
      </c>
      <c r="S861">
        <v>11.387</v>
      </c>
    </row>
    <row r="862" spans="1:19">
      <c r="A862">
        <v>2025</v>
      </c>
      <c r="B862" t="s">
        <v>12</v>
      </c>
      <c r="C862" t="s">
        <v>7</v>
      </c>
      <c r="D862">
        <v>10</v>
      </c>
      <c r="G862" s="3"/>
      <c r="N862">
        <v>57.88</v>
      </c>
      <c r="O862">
        <v>29.28</v>
      </c>
      <c r="P862">
        <v>30.99</v>
      </c>
      <c r="Q862">
        <v>42.64</v>
      </c>
      <c r="R862">
        <v>46.62</v>
      </c>
      <c r="S862">
        <v>11.271000000000001</v>
      </c>
    </row>
    <row r="863" spans="1:19">
      <c r="A863">
        <v>2025</v>
      </c>
      <c r="B863" t="s">
        <v>12</v>
      </c>
      <c r="C863" t="s">
        <v>7</v>
      </c>
      <c r="D863">
        <v>11</v>
      </c>
      <c r="G863" s="3"/>
      <c r="N863">
        <v>44.06</v>
      </c>
      <c r="O863">
        <v>44.1</v>
      </c>
      <c r="P863">
        <v>28.36</v>
      </c>
      <c r="Q863">
        <v>52.43</v>
      </c>
      <c r="R863">
        <v>32.75</v>
      </c>
      <c r="S863">
        <v>8.1959999999999997</v>
      </c>
    </row>
    <row r="864" spans="1:19">
      <c r="A864">
        <v>2025</v>
      </c>
      <c r="B864" t="s">
        <v>12</v>
      </c>
      <c r="C864" t="s">
        <v>7</v>
      </c>
      <c r="D864">
        <v>11</v>
      </c>
      <c r="G864" s="3"/>
      <c r="N864">
        <v>39.06</v>
      </c>
      <c r="O864">
        <v>43.51</v>
      </c>
      <c r="P864">
        <v>24.03</v>
      </c>
      <c r="Q864">
        <v>49.71</v>
      </c>
      <c r="R864">
        <v>28.91</v>
      </c>
      <c r="S864">
        <v>8.4700000000000006</v>
      </c>
    </row>
    <row r="865" spans="1:19">
      <c r="A865">
        <v>2025</v>
      </c>
      <c r="B865" t="s">
        <v>12</v>
      </c>
      <c r="C865" t="s">
        <v>7</v>
      </c>
      <c r="D865">
        <v>12</v>
      </c>
      <c r="G865" s="3"/>
      <c r="N865">
        <v>44.48</v>
      </c>
      <c r="O865">
        <v>39.869999999999997</v>
      </c>
      <c r="P865">
        <v>27.09</v>
      </c>
      <c r="Q865">
        <v>48.2</v>
      </c>
      <c r="R865">
        <v>34.19</v>
      </c>
      <c r="S865">
        <v>9.6709999999999994</v>
      </c>
    </row>
    <row r="866" spans="1:19">
      <c r="A866">
        <v>2025</v>
      </c>
      <c r="B866" t="s">
        <v>12</v>
      </c>
      <c r="C866" t="s">
        <v>7</v>
      </c>
      <c r="D866">
        <v>12</v>
      </c>
      <c r="G866" s="3"/>
      <c r="N866">
        <v>43.8</v>
      </c>
      <c r="O866">
        <v>42.85</v>
      </c>
      <c r="P866">
        <v>27.69</v>
      </c>
      <c r="Q866">
        <v>51.02</v>
      </c>
      <c r="R866">
        <v>32.869999999999997</v>
      </c>
      <c r="S866">
        <v>9.0449999999999999</v>
      </c>
    </row>
    <row r="867" spans="1:19">
      <c r="A867">
        <v>2025</v>
      </c>
      <c r="B867" t="s">
        <v>12</v>
      </c>
      <c r="C867" t="s">
        <v>7</v>
      </c>
      <c r="D867">
        <v>13</v>
      </c>
      <c r="G867" s="3"/>
      <c r="N867">
        <v>47.58</v>
      </c>
      <c r="O867">
        <v>39.630000000000003</v>
      </c>
      <c r="P867">
        <v>26.75</v>
      </c>
      <c r="Q867">
        <v>47.82</v>
      </c>
      <c r="R867">
        <v>34.020000000000003</v>
      </c>
      <c r="S867">
        <v>9.1829999999999998</v>
      </c>
    </row>
    <row r="868" spans="1:19">
      <c r="A868">
        <v>2025</v>
      </c>
      <c r="B868" t="s">
        <v>12</v>
      </c>
      <c r="C868" t="s">
        <v>7</v>
      </c>
      <c r="D868">
        <v>13</v>
      </c>
      <c r="G868" s="3"/>
      <c r="N868">
        <v>68.099999999999994</v>
      </c>
      <c r="O868">
        <v>7.71</v>
      </c>
      <c r="P868">
        <v>29.84</v>
      </c>
      <c r="Q868">
        <v>30.82</v>
      </c>
      <c r="R868">
        <v>75.510000000000005</v>
      </c>
      <c r="S868">
        <v>8.6329999999999991</v>
      </c>
    </row>
    <row r="869" spans="1:19">
      <c r="A869">
        <v>2025</v>
      </c>
      <c r="B869" t="s">
        <v>12</v>
      </c>
      <c r="C869" t="s">
        <v>7</v>
      </c>
      <c r="D869">
        <v>14</v>
      </c>
      <c r="G869" s="3"/>
      <c r="N869">
        <v>38.909999999999997</v>
      </c>
      <c r="O869">
        <v>39.53</v>
      </c>
      <c r="P869">
        <v>20.11</v>
      </c>
      <c r="Q869">
        <v>44.35</v>
      </c>
      <c r="R869">
        <v>26.96</v>
      </c>
      <c r="S869">
        <v>10.114000000000001</v>
      </c>
    </row>
    <row r="870" spans="1:19">
      <c r="A870">
        <v>2025</v>
      </c>
      <c r="B870" t="s">
        <v>12</v>
      </c>
      <c r="C870" t="s">
        <v>7</v>
      </c>
      <c r="D870">
        <v>14</v>
      </c>
      <c r="G870" s="3"/>
      <c r="N870">
        <v>52.08</v>
      </c>
      <c r="O870">
        <v>35.869999999999997</v>
      </c>
      <c r="P870">
        <v>25.01</v>
      </c>
      <c r="Q870">
        <v>43.73</v>
      </c>
      <c r="R870">
        <v>34.880000000000003</v>
      </c>
      <c r="S870">
        <v>10.063000000000001</v>
      </c>
    </row>
    <row r="871" spans="1:19">
      <c r="A871">
        <v>2025</v>
      </c>
      <c r="B871" t="s">
        <v>12</v>
      </c>
      <c r="C871" t="s">
        <v>7</v>
      </c>
      <c r="D871">
        <v>15</v>
      </c>
      <c r="G871" s="3"/>
      <c r="N871">
        <v>35.380000000000003</v>
      </c>
      <c r="O871">
        <v>38.24</v>
      </c>
      <c r="P871">
        <v>16.260000000000002</v>
      </c>
      <c r="Q871">
        <v>41.55</v>
      </c>
      <c r="R871">
        <v>23.04</v>
      </c>
      <c r="S871">
        <v>9.0809999999999995</v>
      </c>
    </row>
    <row r="872" spans="1:19">
      <c r="A872">
        <v>2025</v>
      </c>
      <c r="B872" t="s">
        <v>12</v>
      </c>
      <c r="C872" t="s">
        <v>7</v>
      </c>
      <c r="D872">
        <v>15</v>
      </c>
      <c r="G872" s="3"/>
      <c r="N872">
        <v>58.46</v>
      </c>
      <c r="O872">
        <v>17.239999999999998</v>
      </c>
      <c r="P872">
        <v>29.79</v>
      </c>
      <c r="Q872">
        <v>34.42</v>
      </c>
      <c r="R872">
        <v>59.94</v>
      </c>
      <c r="S872">
        <v>10.711</v>
      </c>
    </row>
    <row r="873" spans="1:19">
      <c r="A873">
        <v>2025</v>
      </c>
      <c r="B873" t="s">
        <v>12</v>
      </c>
      <c r="C873" t="s">
        <v>6</v>
      </c>
      <c r="D873">
        <v>1</v>
      </c>
      <c r="G873" s="3"/>
      <c r="N873">
        <v>39.340000000000003</v>
      </c>
      <c r="O873">
        <v>43.21</v>
      </c>
      <c r="P873">
        <v>24.17</v>
      </c>
      <c r="Q873">
        <v>49.51</v>
      </c>
      <c r="R873">
        <v>29.22</v>
      </c>
      <c r="S873">
        <v>9.3989999999999991</v>
      </c>
    </row>
    <row r="874" spans="1:19">
      <c r="A874">
        <v>2025</v>
      </c>
      <c r="B874" t="s">
        <v>12</v>
      </c>
      <c r="C874" s="4" t="s">
        <v>6</v>
      </c>
      <c r="D874">
        <v>1</v>
      </c>
      <c r="G874" s="3"/>
      <c r="N874">
        <v>47.02</v>
      </c>
      <c r="O874">
        <v>38.01</v>
      </c>
      <c r="P874">
        <v>25.3</v>
      </c>
      <c r="Q874">
        <v>45.66</v>
      </c>
      <c r="R874">
        <v>33.65</v>
      </c>
      <c r="S874">
        <v>9.8979999999999997</v>
      </c>
    </row>
    <row r="875" spans="1:19">
      <c r="A875">
        <v>2025</v>
      </c>
      <c r="B875" t="s">
        <v>12</v>
      </c>
      <c r="C875" s="4" t="s">
        <v>6</v>
      </c>
      <c r="D875">
        <v>2</v>
      </c>
      <c r="G875" s="3"/>
      <c r="N875">
        <v>45.2</v>
      </c>
      <c r="O875">
        <v>43.25</v>
      </c>
      <c r="P875">
        <v>25.03</v>
      </c>
      <c r="Q875">
        <v>49.97</v>
      </c>
      <c r="R875">
        <v>30.06</v>
      </c>
      <c r="S875">
        <v>9.6809999999999992</v>
      </c>
    </row>
    <row r="876" spans="1:19">
      <c r="A876">
        <v>2025</v>
      </c>
      <c r="B876" t="s">
        <v>12</v>
      </c>
      <c r="C876" s="4" t="s">
        <v>6</v>
      </c>
      <c r="D876">
        <v>2</v>
      </c>
      <c r="G876" s="3"/>
      <c r="N876">
        <v>49.22</v>
      </c>
      <c r="O876">
        <v>42.48</v>
      </c>
      <c r="P876">
        <v>29.36</v>
      </c>
      <c r="Q876">
        <v>51.63</v>
      </c>
      <c r="R876">
        <v>34.65</v>
      </c>
      <c r="S876">
        <v>10.250999999999999</v>
      </c>
    </row>
    <row r="877" spans="1:19">
      <c r="A877">
        <v>2025</v>
      </c>
      <c r="B877" t="s">
        <v>12</v>
      </c>
      <c r="C877" s="4" t="s">
        <v>6</v>
      </c>
      <c r="D877">
        <v>3</v>
      </c>
      <c r="G877" s="3"/>
      <c r="N877">
        <v>44.71</v>
      </c>
      <c r="O877">
        <v>40.72</v>
      </c>
      <c r="P877">
        <v>26.86</v>
      </c>
      <c r="Q877">
        <v>48.78</v>
      </c>
      <c r="R877">
        <v>33.42</v>
      </c>
      <c r="S877">
        <v>7.3780000000000001</v>
      </c>
    </row>
    <row r="878" spans="1:19">
      <c r="A878">
        <v>2025</v>
      </c>
      <c r="B878" t="s">
        <v>12</v>
      </c>
      <c r="C878" s="4" t="s">
        <v>6</v>
      </c>
      <c r="D878">
        <v>3</v>
      </c>
      <c r="G878" s="3"/>
      <c r="N878">
        <v>52.74</v>
      </c>
      <c r="O878">
        <v>36.619999999999997</v>
      </c>
      <c r="P878">
        <v>30.38</v>
      </c>
      <c r="Q878">
        <v>47.59</v>
      </c>
      <c r="R878">
        <v>39.68</v>
      </c>
      <c r="S878">
        <v>7.1420000000000003</v>
      </c>
    </row>
    <row r="879" spans="1:19">
      <c r="A879">
        <v>2025</v>
      </c>
      <c r="B879" t="s">
        <v>12</v>
      </c>
      <c r="C879" s="4" t="s">
        <v>6</v>
      </c>
      <c r="D879">
        <v>4</v>
      </c>
      <c r="G879" s="3"/>
      <c r="N879">
        <v>34.090000000000003</v>
      </c>
      <c r="O879">
        <v>42.03</v>
      </c>
      <c r="P879">
        <v>17.82</v>
      </c>
      <c r="Q879">
        <v>45.65</v>
      </c>
      <c r="R879">
        <v>22.97</v>
      </c>
      <c r="S879">
        <v>10.722</v>
      </c>
    </row>
    <row r="880" spans="1:19">
      <c r="A880">
        <v>2025</v>
      </c>
      <c r="B880" t="s">
        <v>12</v>
      </c>
      <c r="C880" s="4" t="s">
        <v>6</v>
      </c>
      <c r="D880">
        <v>4</v>
      </c>
      <c r="G880" s="3"/>
      <c r="N880">
        <v>40.98</v>
      </c>
      <c r="O880">
        <v>44.73</v>
      </c>
      <c r="P880">
        <v>23.35</v>
      </c>
      <c r="Q880">
        <v>50.46</v>
      </c>
      <c r="R880">
        <v>27.56</v>
      </c>
      <c r="S880">
        <v>10.542</v>
      </c>
    </row>
    <row r="881" spans="1:19">
      <c r="A881">
        <v>2025</v>
      </c>
      <c r="B881" t="s">
        <v>12</v>
      </c>
      <c r="C881" s="4" t="s">
        <v>6</v>
      </c>
      <c r="D881">
        <v>5</v>
      </c>
      <c r="G881" s="3"/>
      <c r="N881">
        <v>31.49</v>
      </c>
      <c r="O881">
        <v>37.17</v>
      </c>
      <c r="P881">
        <v>12.62</v>
      </c>
      <c r="Q881">
        <v>39.25</v>
      </c>
      <c r="R881">
        <v>18.760000000000002</v>
      </c>
      <c r="S881">
        <v>9.8439999999999994</v>
      </c>
    </row>
    <row r="882" spans="1:19">
      <c r="A882">
        <v>2025</v>
      </c>
      <c r="B882" t="s">
        <v>12</v>
      </c>
      <c r="C882" s="4" t="s">
        <v>6</v>
      </c>
      <c r="D882">
        <v>5</v>
      </c>
      <c r="G882" s="3"/>
      <c r="N882">
        <v>44.13</v>
      </c>
      <c r="O882">
        <v>41.59</v>
      </c>
      <c r="P882">
        <v>24.67</v>
      </c>
      <c r="Q882">
        <v>48.35</v>
      </c>
      <c r="R882">
        <v>30.68</v>
      </c>
      <c r="S882">
        <v>9.8870000000000005</v>
      </c>
    </row>
    <row r="883" spans="1:19">
      <c r="A883">
        <v>2025</v>
      </c>
      <c r="B883" t="s">
        <v>12</v>
      </c>
      <c r="C883" s="4" t="s">
        <v>6</v>
      </c>
      <c r="D883">
        <v>6</v>
      </c>
      <c r="G883" s="3"/>
      <c r="N883">
        <v>37.380000000000003</v>
      </c>
      <c r="O883">
        <v>39.81</v>
      </c>
      <c r="P883">
        <v>20.18</v>
      </c>
      <c r="Q883">
        <v>44.63</v>
      </c>
      <c r="R883">
        <v>26.89</v>
      </c>
      <c r="S883">
        <v>11.006</v>
      </c>
    </row>
    <row r="884" spans="1:19">
      <c r="A884">
        <v>2025</v>
      </c>
      <c r="B884" t="s">
        <v>12</v>
      </c>
      <c r="C884" s="4" t="s">
        <v>6</v>
      </c>
      <c r="D884">
        <v>6</v>
      </c>
      <c r="G884" s="3"/>
      <c r="N884">
        <v>41.32</v>
      </c>
      <c r="O884">
        <v>39.5</v>
      </c>
      <c r="P884">
        <v>22.98</v>
      </c>
      <c r="Q884">
        <v>45.7</v>
      </c>
      <c r="R884">
        <v>30.19</v>
      </c>
      <c r="S884">
        <v>9.2929999999999993</v>
      </c>
    </row>
    <row r="885" spans="1:19">
      <c r="A885">
        <v>2025</v>
      </c>
      <c r="B885" t="s">
        <v>12</v>
      </c>
      <c r="C885" s="4" t="s">
        <v>6</v>
      </c>
      <c r="D885">
        <v>7</v>
      </c>
      <c r="G885" s="3"/>
      <c r="N885">
        <v>38.549999999999997</v>
      </c>
      <c r="O885">
        <v>41.39</v>
      </c>
      <c r="P885">
        <v>20.190000000000001</v>
      </c>
      <c r="Q885">
        <v>46.05</v>
      </c>
      <c r="R885">
        <v>26</v>
      </c>
      <c r="S885">
        <v>9.0090000000000003</v>
      </c>
    </row>
    <row r="886" spans="1:19">
      <c r="A886">
        <v>2025</v>
      </c>
      <c r="B886" t="s">
        <v>12</v>
      </c>
      <c r="C886" s="4" t="s">
        <v>6</v>
      </c>
      <c r="D886">
        <v>7</v>
      </c>
      <c r="G886" s="3"/>
      <c r="N886">
        <v>36.86</v>
      </c>
      <c r="O886">
        <v>43.73</v>
      </c>
      <c r="P886">
        <v>23.36</v>
      </c>
      <c r="Q886">
        <v>49.58</v>
      </c>
      <c r="R886">
        <v>28.11</v>
      </c>
      <c r="S886">
        <v>10</v>
      </c>
    </row>
    <row r="887" spans="1:19">
      <c r="A887">
        <v>2025</v>
      </c>
      <c r="B887" t="s">
        <v>12</v>
      </c>
      <c r="C887" s="4" t="s">
        <v>6</v>
      </c>
      <c r="D887">
        <v>8</v>
      </c>
      <c r="G887" s="3"/>
      <c r="N887">
        <v>37.36</v>
      </c>
      <c r="O887">
        <v>39.630000000000003</v>
      </c>
      <c r="P887">
        <v>20.55</v>
      </c>
      <c r="Q887">
        <v>44.64</v>
      </c>
      <c r="R887">
        <v>27.4</v>
      </c>
      <c r="S887">
        <v>8.83</v>
      </c>
    </row>
    <row r="888" spans="1:19">
      <c r="A888">
        <v>2025</v>
      </c>
      <c r="B888" t="s">
        <v>12</v>
      </c>
      <c r="C888" s="4" t="s">
        <v>6</v>
      </c>
      <c r="D888">
        <v>8</v>
      </c>
      <c r="G888" s="3"/>
      <c r="N888">
        <v>46.52</v>
      </c>
      <c r="O888">
        <v>39.6</v>
      </c>
      <c r="P888">
        <v>23.06</v>
      </c>
      <c r="Q888">
        <v>45.82</v>
      </c>
      <c r="R888">
        <v>30.22</v>
      </c>
      <c r="S888">
        <v>8.6519999999999992</v>
      </c>
    </row>
    <row r="889" spans="1:19">
      <c r="A889">
        <v>2025</v>
      </c>
      <c r="B889" t="s">
        <v>12</v>
      </c>
      <c r="C889" s="4" t="s">
        <v>6</v>
      </c>
      <c r="D889">
        <v>9</v>
      </c>
      <c r="G889" s="3"/>
      <c r="N889">
        <v>32.75</v>
      </c>
      <c r="O889">
        <v>38.47</v>
      </c>
      <c r="P889">
        <v>16.420000000000002</v>
      </c>
      <c r="Q889">
        <v>41.83</v>
      </c>
      <c r="R889">
        <v>23.11</v>
      </c>
      <c r="S889">
        <v>9.407</v>
      </c>
    </row>
    <row r="890" spans="1:19">
      <c r="A890">
        <v>2025</v>
      </c>
      <c r="B890" t="s">
        <v>12</v>
      </c>
      <c r="C890" s="4" t="s">
        <v>6</v>
      </c>
      <c r="D890">
        <v>9</v>
      </c>
      <c r="G890" s="3"/>
      <c r="N890">
        <v>43.72</v>
      </c>
      <c r="O890">
        <v>41.51</v>
      </c>
      <c r="P890">
        <v>27.12</v>
      </c>
      <c r="Q890">
        <v>49.59</v>
      </c>
      <c r="R890">
        <v>33.15</v>
      </c>
      <c r="S890">
        <v>7.8470000000000004</v>
      </c>
    </row>
    <row r="891" spans="1:19">
      <c r="A891">
        <v>2025</v>
      </c>
      <c r="B891" t="s">
        <v>12</v>
      </c>
      <c r="C891" s="4" t="s">
        <v>6</v>
      </c>
      <c r="D891">
        <v>10</v>
      </c>
      <c r="G891" s="3"/>
      <c r="N891">
        <v>36.15</v>
      </c>
      <c r="O891">
        <v>48.18</v>
      </c>
      <c r="P891">
        <v>24.8</v>
      </c>
      <c r="Q891">
        <v>54.19</v>
      </c>
      <c r="R891">
        <v>27.24</v>
      </c>
      <c r="S891">
        <v>7.819</v>
      </c>
    </row>
    <row r="892" spans="1:19">
      <c r="A892">
        <v>2025</v>
      </c>
      <c r="B892" t="s">
        <v>12</v>
      </c>
      <c r="C892" s="4" t="s">
        <v>6</v>
      </c>
      <c r="D892">
        <v>10</v>
      </c>
      <c r="G892" s="3"/>
      <c r="N892">
        <v>45.79</v>
      </c>
      <c r="O892">
        <v>43.04</v>
      </c>
      <c r="P892">
        <v>28.18</v>
      </c>
      <c r="Q892">
        <v>51.45</v>
      </c>
      <c r="R892">
        <v>33.22</v>
      </c>
      <c r="S892">
        <v>8.5839999999999996</v>
      </c>
    </row>
    <row r="893" spans="1:19">
      <c r="A893">
        <v>2025</v>
      </c>
      <c r="B893" t="s">
        <v>12</v>
      </c>
      <c r="C893" s="4" t="s">
        <v>6</v>
      </c>
      <c r="D893">
        <v>11</v>
      </c>
      <c r="G893" s="3"/>
      <c r="N893">
        <v>47.93</v>
      </c>
      <c r="O893">
        <v>37.79</v>
      </c>
      <c r="P893">
        <v>27.17</v>
      </c>
      <c r="Q893">
        <v>46.54</v>
      </c>
      <c r="R893">
        <v>35.71</v>
      </c>
      <c r="S893">
        <v>8.7349999999999994</v>
      </c>
    </row>
    <row r="894" spans="1:19">
      <c r="A894">
        <v>2025</v>
      </c>
      <c r="B894" t="s">
        <v>12</v>
      </c>
      <c r="C894" s="4" t="s">
        <v>6</v>
      </c>
      <c r="D894">
        <v>11</v>
      </c>
      <c r="G894" s="3"/>
      <c r="N894">
        <v>68.599999999999994</v>
      </c>
      <c r="O894">
        <v>4.57</v>
      </c>
      <c r="P894">
        <v>35.46</v>
      </c>
      <c r="Q894">
        <v>35.75</v>
      </c>
      <c r="R894">
        <v>82.65</v>
      </c>
      <c r="S894">
        <v>8.6159999999999997</v>
      </c>
    </row>
    <row r="895" spans="1:19">
      <c r="A895">
        <v>2025</v>
      </c>
      <c r="B895" t="s">
        <v>12</v>
      </c>
      <c r="C895" s="4" t="s">
        <v>6</v>
      </c>
      <c r="D895">
        <v>12</v>
      </c>
      <c r="G895" s="3"/>
      <c r="N895">
        <v>42.06</v>
      </c>
      <c r="O895">
        <v>41.89</v>
      </c>
      <c r="P895">
        <v>22.99</v>
      </c>
      <c r="Q895">
        <v>47.79</v>
      </c>
      <c r="R895">
        <v>28.76</v>
      </c>
      <c r="S895">
        <v>9.9930000000000003</v>
      </c>
    </row>
    <row r="896" spans="1:19">
      <c r="A896">
        <v>2025</v>
      </c>
      <c r="B896" t="s">
        <v>12</v>
      </c>
      <c r="C896" s="4" t="s">
        <v>6</v>
      </c>
      <c r="D896">
        <v>12</v>
      </c>
      <c r="G896" s="3"/>
      <c r="N896">
        <v>40.74</v>
      </c>
      <c r="O896">
        <v>42.09</v>
      </c>
      <c r="P896">
        <v>25.79</v>
      </c>
      <c r="Q896">
        <v>49.36</v>
      </c>
      <c r="R896">
        <v>31.5</v>
      </c>
      <c r="S896">
        <v>9.5850000000000009</v>
      </c>
    </row>
    <row r="897" spans="1:19">
      <c r="A897">
        <v>2025</v>
      </c>
      <c r="B897" t="s">
        <v>12</v>
      </c>
      <c r="C897" s="4" t="s">
        <v>6</v>
      </c>
      <c r="D897">
        <v>13</v>
      </c>
      <c r="G897" s="3"/>
      <c r="N897">
        <v>40.44</v>
      </c>
      <c r="O897">
        <v>41.47</v>
      </c>
      <c r="P897">
        <v>24.74</v>
      </c>
      <c r="Q897">
        <v>48.29</v>
      </c>
      <c r="R897">
        <v>30.81</v>
      </c>
      <c r="S897">
        <v>8.3070000000000004</v>
      </c>
    </row>
    <row r="898" spans="1:19">
      <c r="A898">
        <v>2025</v>
      </c>
      <c r="B898" t="s">
        <v>12</v>
      </c>
      <c r="C898" s="4" t="s">
        <v>6</v>
      </c>
      <c r="D898">
        <v>13</v>
      </c>
      <c r="G898" s="3"/>
      <c r="N898">
        <v>49.37</v>
      </c>
      <c r="O898">
        <v>33.96</v>
      </c>
      <c r="P898">
        <v>26.27</v>
      </c>
      <c r="Q898">
        <v>42.93</v>
      </c>
      <c r="R898">
        <v>37.72</v>
      </c>
      <c r="S898">
        <v>8.5039999999999996</v>
      </c>
    </row>
    <row r="899" spans="1:19">
      <c r="A899">
        <v>2025</v>
      </c>
      <c r="B899" t="s">
        <v>12</v>
      </c>
      <c r="C899" s="4" t="s">
        <v>6</v>
      </c>
      <c r="D899">
        <v>14</v>
      </c>
      <c r="G899" s="3"/>
      <c r="N899">
        <v>34.71</v>
      </c>
      <c r="O899">
        <v>45.32</v>
      </c>
      <c r="P899">
        <v>18.84</v>
      </c>
      <c r="Q899">
        <v>49.08</v>
      </c>
      <c r="R899">
        <v>22.58</v>
      </c>
      <c r="S899">
        <v>12.7</v>
      </c>
    </row>
    <row r="900" spans="1:19">
      <c r="A900">
        <v>2025</v>
      </c>
      <c r="B900" t="s">
        <v>12</v>
      </c>
      <c r="C900" s="4" t="s">
        <v>6</v>
      </c>
      <c r="D900">
        <v>14</v>
      </c>
      <c r="G900" s="3"/>
      <c r="N900">
        <v>51.74</v>
      </c>
      <c r="O900">
        <v>41.68</v>
      </c>
      <c r="P900">
        <v>23.93</v>
      </c>
      <c r="Q900">
        <v>48.06</v>
      </c>
      <c r="R900">
        <v>29.86</v>
      </c>
      <c r="S900">
        <v>11.272</v>
      </c>
    </row>
    <row r="901" spans="1:19">
      <c r="A901">
        <v>2025</v>
      </c>
      <c r="B901" t="s">
        <v>12</v>
      </c>
      <c r="C901" s="4" t="s">
        <v>6</v>
      </c>
      <c r="D901">
        <v>15</v>
      </c>
      <c r="G901" s="3"/>
      <c r="N901">
        <v>47.75</v>
      </c>
      <c r="O901">
        <v>35.56</v>
      </c>
      <c r="P901">
        <v>24.72</v>
      </c>
      <c r="Q901">
        <v>43.31</v>
      </c>
      <c r="R901">
        <v>34.799999999999997</v>
      </c>
      <c r="S901">
        <v>9.4510000000000005</v>
      </c>
    </row>
    <row r="902" spans="1:19">
      <c r="A902">
        <v>2025</v>
      </c>
      <c r="B902" t="s">
        <v>12</v>
      </c>
      <c r="C902" s="4" t="s">
        <v>6</v>
      </c>
      <c r="D902">
        <v>15</v>
      </c>
      <c r="G902" s="3"/>
      <c r="N902">
        <v>54.46</v>
      </c>
      <c r="O902">
        <v>31.89</v>
      </c>
      <c r="P902">
        <v>26.29</v>
      </c>
      <c r="Q902">
        <v>41.33</v>
      </c>
      <c r="R902">
        <v>39.51</v>
      </c>
      <c r="S902">
        <v>9.99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31CB-076B-4BFC-AC09-B2ADACC4E989}">
  <dimension ref="B1:L30"/>
  <sheetViews>
    <sheetView zoomScale="85" zoomScaleNormal="85" workbookViewId="0">
      <selection activeCell="E18" sqref="E18"/>
    </sheetView>
  </sheetViews>
  <sheetFormatPr defaultColWidth="8.77734375" defaultRowHeight="14.4"/>
  <cols>
    <col min="1" max="1" width="8.77734375" style="2"/>
    <col min="2" max="2" width="13.44140625" style="2" bestFit="1" customWidth="1"/>
    <col min="3" max="3" width="14.21875" style="2" bestFit="1" customWidth="1"/>
    <col min="4" max="4" width="29.21875" style="2" bestFit="1" customWidth="1"/>
    <col min="5" max="5" width="20.21875" style="2" bestFit="1" customWidth="1"/>
    <col min="6" max="6" width="14.21875" style="2" bestFit="1" customWidth="1"/>
    <col min="7" max="7" width="9.5546875" style="2" bestFit="1" customWidth="1"/>
    <col min="8" max="8" width="7.21875" style="2" bestFit="1" customWidth="1"/>
    <col min="9" max="9" width="5.33203125" style="2" bestFit="1" customWidth="1"/>
    <col min="10" max="10" width="7.6640625" style="2" bestFit="1" customWidth="1"/>
    <col min="11" max="11" width="7.21875" style="2" bestFit="1" customWidth="1"/>
    <col min="12" max="12" width="23" style="2" bestFit="1" customWidth="1"/>
    <col min="13" max="16384" width="8.77734375" style="2"/>
  </cols>
  <sheetData>
    <row r="1" spans="2:12">
      <c r="C1" s="2" t="s">
        <v>327</v>
      </c>
      <c r="D1" s="2" t="s">
        <v>327</v>
      </c>
      <c r="E1" s="2" t="s">
        <v>327</v>
      </c>
    </row>
    <row r="2" spans="2:12" s="51" customFormat="1">
      <c r="B2" s="51" t="s">
        <v>344</v>
      </c>
      <c r="C2" s="51" t="s">
        <v>332</v>
      </c>
      <c r="D2" s="51" t="s">
        <v>333</v>
      </c>
      <c r="E2" s="51" t="s">
        <v>334</v>
      </c>
    </row>
    <row r="3" spans="2:12">
      <c r="B3" s="2" t="s">
        <v>5</v>
      </c>
      <c r="C3" s="22">
        <v>218.18181818181816</v>
      </c>
      <c r="D3" s="22">
        <v>24.242424242424242</v>
      </c>
      <c r="E3" s="22">
        <v>218.18181818181819</v>
      </c>
    </row>
    <row r="4" spans="2:12">
      <c r="B4" s="2" t="s">
        <v>11</v>
      </c>
      <c r="C4" s="22">
        <v>97.402597402597408</v>
      </c>
      <c r="D4" s="22">
        <v>28.860028860028862</v>
      </c>
      <c r="E4" s="22">
        <v>238.09523809523813</v>
      </c>
    </row>
    <row r="5" spans="2:12">
      <c r="B5" s="2" t="s">
        <v>12</v>
      </c>
      <c r="C5" s="22">
        <v>173.16017316017314</v>
      </c>
      <c r="D5" s="22">
        <v>30.784030784030783</v>
      </c>
      <c r="E5" s="22">
        <v>184.70418470418468</v>
      </c>
    </row>
    <row r="6" spans="2:12">
      <c r="B6" s="2" t="s">
        <v>13</v>
      </c>
      <c r="C6" s="22">
        <v>61.09481915933528</v>
      </c>
      <c r="D6" s="22">
        <v>35.638644509612249</v>
      </c>
      <c r="E6" s="22">
        <v>122.18963831867055</v>
      </c>
    </row>
    <row r="8" spans="2:12">
      <c r="H8" s="2" t="s">
        <v>327</v>
      </c>
      <c r="I8" s="2" t="s">
        <v>327</v>
      </c>
      <c r="J8" s="2" t="s">
        <v>327</v>
      </c>
      <c r="K8" s="2" t="s">
        <v>327</v>
      </c>
      <c r="L8" s="2" t="s">
        <v>335</v>
      </c>
    </row>
    <row r="9" spans="2:12" s="51" customFormat="1">
      <c r="F9" s="51" t="s">
        <v>465</v>
      </c>
      <c r="G9" s="51" t="s">
        <v>23</v>
      </c>
      <c r="H9" s="51" t="s">
        <v>464</v>
      </c>
      <c r="I9" s="51" t="s">
        <v>332</v>
      </c>
      <c r="J9" s="51" t="s">
        <v>333</v>
      </c>
      <c r="K9" s="51" t="s">
        <v>334</v>
      </c>
      <c r="L9" s="25" t="s">
        <v>468</v>
      </c>
    </row>
    <row r="10" spans="2:12">
      <c r="F10" s="2" t="s">
        <v>11</v>
      </c>
      <c r="G10" s="57" t="s">
        <v>8</v>
      </c>
      <c r="H10" s="58">
        <v>49.597222222222221</v>
      </c>
      <c r="I10" s="22">
        <v>97.402597402597408</v>
      </c>
      <c r="J10" s="22">
        <v>28.860028860028862</v>
      </c>
      <c r="K10" s="22">
        <v>238.09523809523813</v>
      </c>
      <c r="L10" s="61">
        <v>3.0533333333333332</v>
      </c>
    </row>
    <row r="11" spans="2:12">
      <c r="F11" s="2" t="s">
        <v>11</v>
      </c>
      <c r="G11" s="57" t="s">
        <v>7</v>
      </c>
      <c r="H11" s="58">
        <v>228.14722222222221</v>
      </c>
      <c r="I11" s="22">
        <v>97.402597402597408</v>
      </c>
      <c r="J11" s="22">
        <v>28.860028860028862</v>
      </c>
      <c r="K11" s="22">
        <v>238.09523809523813</v>
      </c>
      <c r="L11" s="61">
        <v>6.2166666666666677</v>
      </c>
    </row>
    <row r="12" spans="2:12">
      <c r="F12" s="2" t="s">
        <v>11</v>
      </c>
      <c r="G12" s="57" t="s">
        <v>10</v>
      </c>
      <c r="H12" s="58">
        <v>148.79166666666666</v>
      </c>
      <c r="I12" s="22">
        <v>97.402597402597408</v>
      </c>
      <c r="J12" s="22">
        <v>28.860028860028862</v>
      </c>
      <c r="K12" s="22">
        <v>238.09523809523813</v>
      </c>
      <c r="L12" s="61">
        <v>6.7266666666666666</v>
      </c>
    </row>
    <row r="13" spans="2:12">
      <c r="F13" s="2" t="s">
        <v>11</v>
      </c>
      <c r="G13" s="57" t="s">
        <v>9</v>
      </c>
      <c r="H13" s="58">
        <v>267.82499999999999</v>
      </c>
      <c r="I13" s="22">
        <v>97.402597402597408</v>
      </c>
      <c r="J13" s="22">
        <v>28.860028860028862</v>
      </c>
      <c r="K13" s="22">
        <v>238.09523809523813</v>
      </c>
      <c r="L13" s="61">
        <v>5.7266666666666666</v>
      </c>
    </row>
    <row r="14" spans="2:12">
      <c r="F14" s="2" t="s">
        <v>11</v>
      </c>
      <c r="G14" s="57" t="s">
        <v>6</v>
      </c>
      <c r="H14" s="58">
        <v>128.95277777777778</v>
      </c>
      <c r="I14" s="22">
        <v>97.402597402597408</v>
      </c>
      <c r="J14" s="22">
        <v>28.860028860028862</v>
      </c>
      <c r="K14" s="22">
        <v>238.09523809523813</v>
      </c>
      <c r="L14" s="61">
        <v>4.4333333333333336</v>
      </c>
    </row>
    <row r="15" spans="2:12">
      <c r="F15" s="2" t="s">
        <v>5</v>
      </c>
      <c r="G15" s="57" t="s">
        <v>8</v>
      </c>
      <c r="H15" s="58">
        <v>66.666666666666671</v>
      </c>
      <c r="I15" s="22">
        <v>218.18181818181816</v>
      </c>
      <c r="J15" s="22">
        <v>24.242424242424242</v>
      </c>
      <c r="K15" s="22">
        <v>218.18181818181819</v>
      </c>
      <c r="L15" s="61">
        <v>0.39666666666666667</v>
      </c>
    </row>
    <row r="16" spans="2:12">
      <c r="F16" s="2" t="s">
        <v>5</v>
      </c>
      <c r="G16" s="57" t="s">
        <v>7</v>
      </c>
      <c r="H16" s="58">
        <v>313.33333333333331</v>
      </c>
      <c r="I16" s="22">
        <v>218.18181818181816</v>
      </c>
      <c r="J16" s="22">
        <v>24.242424242424242</v>
      </c>
      <c r="K16" s="22">
        <v>218.18181818181819</v>
      </c>
      <c r="L16" s="61">
        <v>2.9266666666666663</v>
      </c>
    </row>
    <row r="17" spans="6:12">
      <c r="F17" s="2" t="s">
        <v>5</v>
      </c>
      <c r="G17" s="57" t="s">
        <v>10</v>
      </c>
      <c r="H17" s="58">
        <v>186.66666666666669</v>
      </c>
      <c r="I17" s="22">
        <v>218.18181818181816</v>
      </c>
      <c r="J17" s="22">
        <v>24.242424242424242</v>
      </c>
      <c r="K17" s="22">
        <v>218.18181818181819</v>
      </c>
      <c r="L17" s="61">
        <v>2.04</v>
      </c>
    </row>
    <row r="18" spans="6:12">
      <c r="F18" s="2" t="s">
        <v>5</v>
      </c>
      <c r="G18" s="57" t="s">
        <v>9</v>
      </c>
      <c r="H18" s="58">
        <v>200</v>
      </c>
      <c r="I18" s="22">
        <v>218.18181818181816</v>
      </c>
      <c r="J18" s="22">
        <v>24.242424242424242</v>
      </c>
      <c r="K18" s="22">
        <v>218.18181818181819</v>
      </c>
      <c r="L18" s="61">
        <v>2.063333333333333</v>
      </c>
    </row>
    <row r="19" spans="6:12">
      <c r="F19" s="2" t="s">
        <v>5</v>
      </c>
      <c r="G19" s="57" t="s">
        <v>6</v>
      </c>
      <c r="H19" s="58">
        <v>266.66666666666669</v>
      </c>
      <c r="I19" s="22">
        <v>218.18181818181816</v>
      </c>
      <c r="J19" s="22">
        <v>24.242424242424242</v>
      </c>
      <c r="K19" s="22">
        <v>218.18181818181819</v>
      </c>
      <c r="L19" s="61">
        <v>1.76</v>
      </c>
    </row>
    <row r="20" spans="6:12">
      <c r="F20" s="2" t="s">
        <v>12</v>
      </c>
      <c r="G20" s="57" t="s">
        <v>8</v>
      </c>
      <c r="H20" s="58">
        <v>55.5625</v>
      </c>
      <c r="I20" s="22">
        <v>173.16017316017314</v>
      </c>
      <c r="J20" s="22">
        <v>30.784030784030783</v>
      </c>
      <c r="K20" s="22">
        <v>184.70418470418468</v>
      </c>
      <c r="L20" s="61">
        <v>0.64</v>
      </c>
    </row>
    <row r="21" spans="6:12">
      <c r="F21" s="2" t="s">
        <v>12</v>
      </c>
      <c r="G21" s="57" t="s">
        <v>7</v>
      </c>
      <c r="H21" s="58">
        <v>259.29166666666669</v>
      </c>
      <c r="I21" s="22">
        <v>173.16017316017314</v>
      </c>
      <c r="J21" s="22">
        <v>30.784030784030783</v>
      </c>
      <c r="K21" s="22">
        <v>184.70418470418468</v>
      </c>
      <c r="L21" s="61">
        <v>4.833333333333333</v>
      </c>
    </row>
    <row r="22" spans="6:12">
      <c r="F22" s="2" t="s">
        <v>12</v>
      </c>
      <c r="G22" s="57" t="s">
        <v>10</v>
      </c>
      <c r="H22" s="58">
        <v>170.39166666666668</v>
      </c>
      <c r="I22" s="22">
        <v>173.16017316017314</v>
      </c>
      <c r="J22" s="22">
        <v>30.784030784030783</v>
      </c>
      <c r="K22" s="22">
        <v>184.70418470418468</v>
      </c>
      <c r="L22" s="61">
        <v>3.3966666666666665</v>
      </c>
    </row>
    <row r="23" spans="6:12">
      <c r="F23" s="2" t="s">
        <v>12</v>
      </c>
      <c r="G23" s="57" t="s">
        <v>9</v>
      </c>
      <c r="H23" s="58">
        <v>155.57500000000002</v>
      </c>
      <c r="I23" s="22">
        <v>173.16017316017314</v>
      </c>
      <c r="J23" s="22">
        <v>30.784030784030783</v>
      </c>
      <c r="K23" s="22">
        <v>184.70418470418468</v>
      </c>
      <c r="L23" s="61">
        <v>3.5533333333333328</v>
      </c>
    </row>
    <row r="24" spans="6:12">
      <c r="F24" s="2" t="s">
        <v>12</v>
      </c>
      <c r="G24" s="57" t="s">
        <v>6</v>
      </c>
      <c r="H24" s="58">
        <v>133.35000000000002</v>
      </c>
      <c r="I24" s="22">
        <v>173.16017316017314</v>
      </c>
      <c r="J24" s="22">
        <v>30.784030784030783</v>
      </c>
      <c r="K24" s="22">
        <v>184.70418470418468</v>
      </c>
      <c r="L24" s="61">
        <v>1.7422222222222221</v>
      </c>
    </row>
    <row r="25" spans="6:12">
      <c r="F25" s="2" t="s">
        <v>13</v>
      </c>
      <c r="G25" s="57" t="s">
        <v>8</v>
      </c>
      <c r="H25" s="58">
        <v>39.199999999999996</v>
      </c>
      <c r="I25" s="22">
        <v>61.09481915933528</v>
      </c>
      <c r="J25" s="22">
        <v>35.638644509612249</v>
      </c>
      <c r="K25" s="22">
        <v>122.18963831867055</v>
      </c>
      <c r="L25" s="61">
        <v>3.0266666666666668</v>
      </c>
    </row>
    <row r="26" spans="6:12">
      <c r="F26" s="2" t="s">
        <v>13</v>
      </c>
      <c r="G26" s="57" t="s">
        <v>7</v>
      </c>
      <c r="H26" s="58">
        <v>201.6</v>
      </c>
      <c r="I26" s="22">
        <v>61.09481915933528</v>
      </c>
      <c r="J26" s="22">
        <v>35.638644509612249</v>
      </c>
      <c r="K26" s="22">
        <v>122.18963831867055</v>
      </c>
      <c r="L26" s="61">
        <v>8.7900000000000009</v>
      </c>
    </row>
    <row r="27" spans="6:12">
      <c r="F27" s="2" t="s">
        <v>13</v>
      </c>
      <c r="G27" s="57" t="s">
        <v>10</v>
      </c>
      <c r="H27" s="58">
        <v>134.4</v>
      </c>
      <c r="I27" s="22">
        <v>61.09481915933528</v>
      </c>
      <c r="J27" s="22">
        <v>35.638644509612249</v>
      </c>
      <c r="K27" s="22">
        <v>122.18963831867055</v>
      </c>
      <c r="L27" s="61">
        <v>5.91</v>
      </c>
    </row>
    <row r="28" spans="6:12">
      <c r="F28" s="2" t="s">
        <v>13</v>
      </c>
      <c r="G28" s="57" t="s">
        <v>9</v>
      </c>
      <c r="H28" s="58">
        <v>61.6</v>
      </c>
      <c r="I28" s="22">
        <v>61.09481915933528</v>
      </c>
      <c r="J28" s="22">
        <v>35.638644509612249</v>
      </c>
      <c r="K28" s="22">
        <v>122.18963831867055</v>
      </c>
      <c r="L28" s="61">
        <v>6</v>
      </c>
    </row>
    <row r="29" spans="6:12">
      <c r="F29" s="2" t="s">
        <v>13</v>
      </c>
      <c r="G29" s="57" t="s">
        <v>6</v>
      </c>
      <c r="H29" s="58">
        <v>78.399999999999991</v>
      </c>
      <c r="I29" s="22">
        <v>61.09481915933528</v>
      </c>
      <c r="J29" s="22">
        <v>35.638644509612249</v>
      </c>
      <c r="K29" s="22">
        <v>122.18963831867055</v>
      </c>
      <c r="L29" s="61">
        <v>4.5</v>
      </c>
    </row>
    <row r="30" spans="6:12">
      <c r="J30"/>
      <c r="K30" s="5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E808-6DB7-4D2C-B51A-481B7C96A08D}">
  <dimension ref="B1:M134"/>
  <sheetViews>
    <sheetView zoomScaleNormal="100" workbookViewId="0">
      <selection activeCell="K34" sqref="K34:M54"/>
    </sheetView>
  </sheetViews>
  <sheetFormatPr defaultRowHeight="14.4"/>
  <cols>
    <col min="2" max="2" width="13.21875" bestFit="1" customWidth="1"/>
    <col min="4" max="4" width="4.21875" bestFit="1" customWidth="1"/>
    <col min="5" max="5" width="9" bestFit="1" customWidth="1"/>
    <col min="6" max="6" width="16.21875" bestFit="1" customWidth="1"/>
    <col min="9" max="9" width="17.21875" bestFit="1" customWidth="1"/>
    <col min="10" max="10" width="21.109375" bestFit="1" customWidth="1"/>
  </cols>
  <sheetData>
    <row r="1" spans="2:10">
      <c r="F1" t="s">
        <v>335</v>
      </c>
    </row>
    <row r="2" spans="2:10" s="25" customFormat="1">
      <c r="B2" s="25" t="s">
        <v>38</v>
      </c>
      <c r="C2" s="45" t="s">
        <v>4</v>
      </c>
      <c r="D2" s="45" t="s">
        <v>2</v>
      </c>
      <c r="E2" s="45" t="s">
        <v>1</v>
      </c>
      <c r="F2" s="52" t="s">
        <v>336</v>
      </c>
    </row>
    <row r="3" spans="2:10">
      <c r="B3" t="s">
        <v>40</v>
      </c>
      <c r="C3" s="23" t="s">
        <v>6</v>
      </c>
      <c r="D3" s="23">
        <v>1</v>
      </c>
      <c r="E3" s="23">
        <v>1</v>
      </c>
      <c r="F3" s="23">
        <v>1.24</v>
      </c>
      <c r="I3" s="55" t="s">
        <v>461</v>
      </c>
      <c r="J3" t="s">
        <v>463</v>
      </c>
    </row>
    <row r="4" spans="2:10">
      <c r="B4" t="s">
        <v>40</v>
      </c>
      <c r="C4" s="23" t="s">
        <v>7</v>
      </c>
      <c r="D4" s="23">
        <v>1</v>
      </c>
      <c r="E4" s="23">
        <v>2</v>
      </c>
      <c r="F4" s="23">
        <v>2.48</v>
      </c>
      <c r="I4" s="56" t="s">
        <v>15</v>
      </c>
      <c r="J4">
        <v>5.15878787878788</v>
      </c>
    </row>
    <row r="5" spans="2:10">
      <c r="B5" t="s">
        <v>40</v>
      </c>
      <c r="C5" s="23" t="s">
        <v>8</v>
      </c>
      <c r="D5" s="23">
        <v>1</v>
      </c>
      <c r="E5" s="23">
        <v>3</v>
      </c>
      <c r="F5" s="23">
        <v>0.78</v>
      </c>
      <c r="I5" s="57" t="s">
        <v>8</v>
      </c>
      <c r="J5">
        <v>3.0533333333333332</v>
      </c>
    </row>
    <row r="6" spans="2:10">
      <c r="B6" t="s">
        <v>40</v>
      </c>
      <c r="C6" s="23" t="s">
        <v>6</v>
      </c>
      <c r="D6" s="23">
        <v>1</v>
      </c>
      <c r="E6" s="23">
        <v>4</v>
      </c>
      <c r="F6" s="23">
        <v>1.62</v>
      </c>
      <c r="I6" s="57" t="s">
        <v>7</v>
      </c>
      <c r="J6">
        <v>6.2166666666666677</v>
      </c>
    </row>
    <row r="7" spans="2:10">
      <c r="B7" t="s">
        <v>40</v>
      </c>
      <c r="C7" s="23" t="s">
        <v>9</v>
      </c>
      <c r="D7" s="23">
        <v>1</v>
      </c>
      <c r="E7" s="23">
        <v>5</v>
      </c>
      <c r="F7" s="23">
        <v>2.84</v>
      </c>
      <c r="I7" s="57" t="s">
        <v>10</v>
      </c>
      <c r="J7">
        <v>6.7266666666666666</v>
      </c>
    </row>
    <row r="8" spans="2:10">
      <c r="B8" t="s">
        <v>40</v>
      </c>
      <c r="C8" s="23" t="s">
        <v>10</v>
      </c>
      <c r="D8" s="23">
        <v>1</v>
      </c>
      <c r="E8" s="23">
        <v>6</v>
      </c>
      <c r="F8" s="23">
        <v>2.46</v>
      </c>
      <c r="I8" s="57" t="s">
        <v>9</v>
      </c>
      <c r="J8">
        <v>5.7266666666666666</v>
      </c>
    </row>
    <row r="9" spans="2:10">
      <c r="B9" t="s">
        <v>40</v>
      </c>
      <c r="C9" s="23" t="s">
        <v>8</v>
      </c>
      <c r="D9" s="23">
        <v>1</v>
      </c>
      <c r="E9" s="23">
        <v>7</v>
      </c>
      <c r="F9" s="23">
        <v>1.1200000000000001</v>
      </c>
      <c r="I9" s="57" t="s">
        <v>6</v>
      </c>
      <c r="J9">
        <v>4.4333333333333336</v>
      </c>
    </row>
    <row r="10" spans="2:10">
      <c r="B10" t="s">
        <v>40</v>
      </c>
      <c r="C10" s="23" t="s">
        <v>9</v>
      </c>
      <c r="D10" s="23">
        <v>1</v>
      </c>
      <c r="E10" s="23">
        <v>8</v>
      </c>
      <c r="F10" s="23">
        <v>1.66</v>
      </c>
      <c r="I10" s="56" t="s">
        <v>40</v>
      </c>
      <c r="J10">
        <v>1.8303030303030303</v>
      </c>
    </row>
    <row r="11" spans="2:10">
      <c r="B11" t="s">
        <v>40</v>
      </c>
      <c r="C11" s="23" t="s">
        <v>10</v>
      </c>
      <c r="D11" s="23">
        <v>1</v>
      </c>
      <c r="E11" s="23">
        <v>9</v>
      </c>
      <c r="F11" s="23">
        <v>2.86</v>
      </c>
      <c r="I11" s="57" t="s">
        <v>8</v>
      </c>
      <c r="J11">
        <v>0.39666666666666667</v>
      </c>
    </row>
    <row r="12" spans="2:10">
      <c r="B12" t="s">
        <v>40</v>
      </c>
      <c r="C12" s="23" t="s">
        <v>7</v>
      </c>
      <c r="D12" s="23">
        <v>1</v>
      </c>
      <c r="E12" s="23">
        <v>10</v>
      </c>
      <c r="F12" s="23">
        <v>3.08</v>
      </c>
      <c r="I12" s="57" t="s">
        <v>7</v>
      </c>
      <c r="J12">
        <v>2.9266666666666663</v>
      </c>
    </row>
    <row r="13" spans="2:10">
      <c r="B13" t="s">
        <v>40</v>
      </c>
      <c r="C13" s="23" t="s">
        <v>6</v>
      </c>
      <c r="D13" s="23">
        <v>1</v>
      </c>
      <c r="E13" s="23">
        <v>11</v>
      </c>
      <c r="F13" s="23">
        <v>1.46</v>
      </c>
      <c r="I13" s="57" t="s">
        <v>10</v>
      </c>
      <c r="J13">
        <v>2.04</v>
      </c>
    </row>
    <row r="14" spans="2:10">
      <c r="B14" t="s">
        <v>40</v>
      </c>
      <c r="C14" s="23" t="s">
        <v>6</v>
      </c>
      <c r="D14" s="23">
        <v>2</v>
      </c>
      <c r="E14" s="23">
        <v>1</v>
      </c>
      <c r="F14" s="23">
        <v>3.16</v>
      </c>
      <c r="I14" s="57" t="s">
        <v>9</v>
      </c>
      <c r="J14">
        <v>2.063333333333333</v>
      </c>
    </row>
    <row r="15" spans="2:10">
      <c r="B15" t="s">
        <v>40</v>
      </c>
      <c r="C15" s="23" t="s">
        <v>7</v>
      </c>
      <c r="D15" s="23">
        <v>2</v>
      </c>
      <c r="E15" s="23">
        <v>2</v>
      </c>
      <c r="F15" s="23">
        <v>5.58</v>
      </c>
      <c r="I15" s="57" t="s">
        <v>6</v>
      </c>
      <c r="J15">
        <v>1.76</v>
      </c>
    </row>
    <row r="16" spans="2:10">
      <c r="B16" t="s">
        <v>40</v>
      </c>
      <c r="C16" s="23" t="s">
        <v>8</v>
      </c>
      <c r="D16" s="23">
        <v>2</v>
      </c>
      <c r="E16" s="23">
        <v>3</v>
      </c>
      <c r="F16" s="23">
        <v>0.48</v>
      </c>
      <c r="I16" s="56" t="s">
        <v>16</v>
      </c>
      <c r="J16">
        <v>2.733939393939393</v>
      </c>
    </row>
    <row r="17" spans="2:10">
      <c r="B17" t="s">
        <v>40</v>
      </c>
      <c r="C17" s="23" t="s">
        <v>6</v>
      </c>
      <c r="D17" s="23">
        <v>2</v>
      </c>
      <c r="E17" s="23">
        <v>4</v>
      </c>
      <c r="F17" s="23">
        <v>3.38</v>
      </c>
      <c r="I17" s="57" t="s">
        <v>8</v>
      </c>
      <c r="J17">
        <v>0.64</v>
      </c>
    </row>
    <row r="18" spans="2:10">
      <c r="B18" t="s">
        <v>40</v>
      </c>
      <c r="C18" s="23" t="s">
        <v>9</v>
      </c>
      <c r="D18" s="23">
        <v>2</v>
      </c>
      <c r="E18" s="23">
        <v>5</v>
      </c>
      <c r="F18" s="23">
        <v>2.92</v>
      </c>
      <c r="I18" s="57" t="s">
        <v>7</v>
      </c>
      <c r="J18">
        <v>4.833333333333333</v>
      </c>
    </row>
    <row r="19" spans="2:10">
      <c r="B19" t="s">
        <v>40</v>
      </c>
      <c r="C19" s="23" t="s">
        <v>10</v>
      </c>
      <c r="D19" s="23">
        <v>2</v>
      </c>
      <c r="E19" s="23">
        <v>6</v>
      </c>
      <c r="F19" s="23">
        <v>2.4</v>
      </c>
      <c r="I19" s="57" t="s">
        <v>10</v>
      </c>
      <c r="J19">
        <v>3.3966666666666665</v>
      </c>
    </row>
    <row r="20" spans="2:10">
      <c r="B20" t="s">
        <v>40</v>
      </c>
      <c r="C20" s="23" t="s">
        <v>8</v>
      </c>
      <c r="D20" s="23">
        <v>2</v>
      </c>
      <c r="E20" s="23">
        <v>7</v>
      </c>
      <c r="F20" s="23">
        <v>0</v>
      </c>
      <c r="I20" s="57" t="s">
        <v>9</v>
      </c>
      <c r="J20">
        <v>3.5533333333333328</v>
      </c>
    </row>
    <row r="21" spans="2:10">
      <c r="B21" t="s">
        <v>40</v>
      </c>
      <c r="C21" s="23" t="s">
        <v>9</v>
      </c>
      <c r="D21" s="23">
        <v>2</v>
      </c>
      <c r="E21" s="23">
        <v>8</v>
      </c>
      <c r="F21" s="23">
        <v>1.3</v>
      </c>
      <c r="I21" s="57" t="s">
        <v>6</v>
      </c>
      <c r="J21">
        <v>1.7422222222222221</v>
      </c>
    </row>
    <row r="22" spans="2:10">
      <c r="B22" t="s">
        <v>40</v>
      </c>
      <c r="C22" s="23" t="s">
        <v>10</v>
      </c>
      <c r="D22" s="23">
        <v>2</v>
      </c>
      <c r="E22" s="23">
        <v>9</v>
      </c>
      <c r="F22" s="23">
        <v>1.24</v>
      </c>
      <c r="I22" s="56" t="s">
        <v>17</v>
      </c>
      <c r="J22">
        <v>5.5412121212121219</v>
      </c>
    </row>
    <row r="23" spans="2:10">
      <c r="B23" t="s">
        <v>40</v>
      </c>
      <c r="C23" s="23" t="s">
        <v>7</v>
      </c>
      <c r="D23" s="23">
        <v>2</v>
      </c>
      <c r="E23" s="23">
        <v>10</v>
      </c>
      <c r="F23" s="23">
        <v>2.9</v>
      </c>
      <c r="I23" s="57" t="s">
        <v>8</v>
      </c>
      <c r="J23">
        <v>3.0266666666666668</v>
      </c>
    </row>
    <row r="24" spans="2:10">
      <c r="B24" t="s">
        <v>40</v>
      </c>
      <c r="C24" s="23" t="s">
        <v>6</v>
      </c>
      <c r="D24" s="23">
        <v>2</v>
      </c>
      <c r="E24" s="23">
        <v>11</v>
      </c>
      <c r="F24" s="23">
        <v>1.32</v>
      </c>
      <c r="I24" s="57" t="s">
        <v>7</v>
      </c>
      <c r="J24">
        <v>8.7900000000000009</v>
      </c>
    </row>
    <row r="25" spans="2:10">
      <c r="B25" t="s">
        <v>40</v>
      </c>
      <c r="C25" s="23" t="s">
        <v>6</v>
      </c>
      <c r="D25" s="23">
        <v>3</v>
      </c>
      <c r="E25" s="23">
        <v>1</v>
      </c>
      <c r="F25" s="23">
        <v>1.1000000000000001</v>
      </c>
      <c r="I25" s="57" t="s">
        <v>10</v>
      </c>
      <c r="J25">
        <v>5.91</v>
      </c>
    </row>
    <row r="26" spans="2:10">
      <c r="B26" t="s">
        <v>40</v>
      </c>
      <c r="C26" s="23" t="s">
        <v>7</v>
      </c>
      <c r="D26" s="23">
        <v>3</v>
      </c>
      <c r="E26" s="23">
        <v>2</v>
      </c>
      <c r="F26" s="23">
        <v>2.5</v>
      </c>
      <c r="I26" s="57" t="s">
        <v>9</v>
      </c>
      <c r="J26">
        <v>6</v>
      </c>
    </row>
    <row r="27" spans="2:10">
      <c r="B27" t="s">
        <v>40</v>
      </c>
      <c r="C27" s="23" t="s">
        <v>8</v>
      </c>
      <c r="D27" s="23">
        <v>3</v>
      </c>
      <c r="E27" s="23">
        <v>3</v>
      </c>
      <c r="F27" s="23">
        <v>0</v>
      </c>
      <c r="I27" s="57" t="s">
        <v>6</v>
      </c>
      <c r="J27">
        <v>4.5</v>
      </c>
    </row>
    <row r="28" spans="2:10">
      <c r="B28" t="s">
        <v>40</v>
      </c>
      <c r="C28" s="23" t="s">
        <v>6</v>
      </c>
      <c r="D28" s="23">
        <v>3</v>
      </c>
      <c r="E28" s="23">
        <v>4</v>
      </c>
      <c r="F28" s="23">
        <v>1.92</v>
      </c>
      <c r="I28" s="56" t="s">
        <v>462</v>
      </c>
      <c r="J28">
        <v>3.8160606060606064</v>
      </c>
    </row>
    <row r="29" spans="2:10">
      <c r="B29" t="s">
        <v>40</v>
      </c>
      <c r="C29" s="23" t="s">
        <v>9</v>
      </c>
      <c r="D29" s="23">
        <v>3</v>
      </c>
      <c r="E29" s="23">
        <v>5</v>
      </c>
      <c r="F29" s="23">
        <v>1.96</v>
      </c>
    </row>
    <row r="30" spans="2:10">
      <c r="B30" t="s">
        <v>40</v>
      </c>
      <c r="C30" s="23" t="s">
        <v>10</v>
      </c>
      <c r="D30" s="23">
        <v>3</v>
      </c>
      <c r="E30" s="23">
        <v>6</v>
      </c>
      <c r="F30" s="23">
        <v>2.36</v>
      </c>
    </row>
    <row r="31" spans="2:10">
      <c r="B31" t="s">
        <v>40</v>
      </c>
      <c r="C31" s="23" t="s">
        <v>8</v>
      </c>
      <c r="D31" s="23">
        <v>3</v>
      </c>
      <c r="E31" s="23">
        <v>7</v>
      </c>
      <c r="F31" s="23">
        <v>0</v>
      </c>
    </row>
    <row r="32" spans="2:10">
      <c r="B32" t="s">
        <v>40</v>
      </c>
      <c r="C32" s="23" t="s">
        <v>9</v>
      </c>
      <c r="D32" s="23">
        <v>3</v>
      </c>
      <c r="E32" s="23">
        <v>8</v>
      </c>
      <c r="F32" s="23">
        <v>1.7</v>
      </c>
    </row>
    <row r="33" spans="2:13">
      <c r="B33" t="s">
        <v>40</v>
      </c>
      <c r="C33" s="23" t="s">
        <v>10</v>
      </c>
      <c r="D33" s="23">
        <v>3</v>
      </c>
      <c r="E33" s="23">
        <v>9</v>
      </c>
      <c r="F33" s="23">
        <v>0.92</v>
      </c>
    </row>
    <row r="34" spans="2:13">
      <c r="B34" t="s">
        <v>40</v>
      </c>
      <c r="C34" s="23" t="s">
        <v>7</v>
      </c>
      <c r="D34" s="23">
        <v>3</v>
      </c>
      <c r="E34" s="23">
        <v>10</v>
      </c>
      <c r="F34" s="23">
        <v>1.02</v>
      </c>
      <c r="K34" s="25" t="s">
        <v>466</v>
      </c>
      <c r="L34" s="60" t="s">
        <v>4</v>
      </c>
      <c r="M34" s="59" t="s">
        <v>467</v>
      </c>
    </row>
    <row r="35" spans="2:13">
      <c r="B35" t="s">
        <v>40</v>
      </c>
      <c r="C35" s="23" t="s">
        <v>6</v>
      </c>
      <c r="D35" s="23">
        <v>3</v>
      </c>
      <c r="E35" s="23">
        <v>11</v>
      </c>
      <c r="F35" s="23">
        <v>0.64</v>
      </c>
      <c r="K35" t="s">
        <v>11</v>
      </c>
      <c r="L35" s="57" t="s">
        <v>8</v>
      </c>
      <c r="M35" s="61">
        <v>3.0533333333333332</v>
      </c>
    </row>
    <row r="36" spans="2:13">
      <c r="B36" t="s">
        <v>15</v>
      </c>
      <c r="C36" s="23" t="s">
        <v>6</v>
      </c>
      <c r="D36" s="23">
        <v>4</v>
      </c>
      <c r="E36" s="23">
        <v>1</v>
      </c>
      <c r="F36" s="23">
        <v>3.74</v>
      </c>
      <c r="K36" t="s">
        <v>11</v>
      </c>
      <c r="L36" s="57" t="s">
        <v>7</v>
      </c>
      <c r="M36" s="61">
        <v>6.2166666666666677</v>
      </c>
    </row>
    <row r="37" spans="2:13">
      <c r="B37" t="s">
        <v>15</v>
      </c>
      <c r="C37" s="23" t="s">
        <v>7</v>
      </c>
      <c r="D37" s="23">
        <v>4</v>
      </c>
      <c r="E37" s="23">
        <v>2</v>
      </c>
      <c r="F37" s="23">
        <v>4.9800000000000004</v>
      </c>
      <c r="K37" t="s">
        <v>11</v>
      </c>
      <c r="L37" s="57" t="s">
        <v>10</v>
      </c>
      <c r="M37" s="61">
        <v>6.7266666666666666</v>
      </c>
    </row>
    <row r="38" spans="2:13">
      <c r="B38" t="s">
        <v>15</v>
      </c>
      <c r="C38" s="23" t="s">
        <v>8</v>
      </c>
      <c r="D38" s="23">
        <v>4</v>
      </c>
      <c r="E38" s="23">
        <v>3</v>
      </c>
      <c r="F38" s="23">
        <v>1.98</v>
      </c>
      <c r="K38" t="s">
        <v>11</v>
      </c>
      <c r="L38" s="57" t="s">
        <v>9</v>
      </c>
      <c r="M38" s="61">
        <v>5.7266666666666666</v>
      </c>
    </row>
    <row r="39" spans="2:13">
      <c r="B39" t="s">
        <v>15</v>
      </c>
      <c r="C39" s="23" t="s">
        <v>6</v>
      </c>
      <c r="D39" s="23">
        <v>4</v>
      </c>
      <c r="E39" s="23">
        <v>4</v>
      </c>
      <c r="F39" s="23">
        <v>2.9</v>
      </c>
      <c r="K39" t="s">
        <v>11</v>
      </c>
      <c r="L39" s="57" t="s">
        <v>6</v>
      </c>
      <c r="M39" s="61">
        <v>4.4333333333333336</v>
      </c>
    </row>
    <row r="40" spans="2:13">
      <c r="B40" t="s">
        <v>15</v>
      </c>
      <c r="C40" s="23" t="s">
        <v>9</v>
      </c>
      <c r="D40" s="23">
        <v>4</v>
      </c>
      <c r="E40" s="23">
        <v>5</v>
      </c>
      <c r="F40" s="23">
        <v>5.04</v>
      </c>
      <c r="K40" t="s">
        <v>5</v>
      </c>
      <c r="L40" s="57" t="s">
        <v>8</v>
      </c>
      <c r="M40" s="61">
        <v>0.39666666666666667</v>
      </c>
    </row>
    <row r="41" spans="2:13">
      <c r="B41" t="s">
        <v>15</v>
      </c>
      <c r="C41" s="23" t="s">
        <v>10</v>
      </c>
      <c r="D41" s="23">
        <v>4</v>
      </c>
      <c r="E41" s="23">
        <v>6</v>
      </c>
      <c r="F41" s="23">
        <v>8.42</v>
      </c>
      <c r="K41" t="s">
        <v>5</v>
      </c>
      <c r="L41" s="57" t="s">
        <v>7</v>
      </c>
      <c r="M41" s="61">
        <v>2.9266666666666663</v>
      </c>
    </row>
    <row r="42" spans="2:13">
      <c r="B42" t="s">
        <v>15</v>
      </c>
      <c r="C42" s="23" t="s">
        <v>8</v>
      </c>
      <c r="D42" s="23">
        <v>4</v>
      </c>
      <c r="E42" s="23">
        <v>7</v>
      </c>
      <c r="F42" s="23">
        <v>3.36</v>
      </c>
      <c r="K42" t="s">
        <v>5</v>
      </c>
      <c r="L42" s="57" t="s">
        <v>10</v>
      </c>
      <c r="M42" s="61">
        <v>2.04</v>
      </c>
    </row>
    <row r="43" spans="2:13">
      <c r="B43" t="s">
        <v>15</v>
      </c>
      <c r="C43" s="23" t="s">
        <v>9</v>
      </c>
      <c r="D43" s="23">
        <v>4</v>
      </c>
      <c r="E43" s="23">
        <v>8</v>
      </c>
      <c r="F43" s="23">
        <v>3.82</v>
      </c>
      <c r="K43" t="s">
        <v>5</v>
      </c>
      <c r="L43" s="57" t="s">
        <v>9</v>
      </c>
      <c r="M43" s="61">
        <v>2.063333333333333</v>
      </c>
    </row>
    <row r="44" spans="2:13">
      <c r="B44" t="s">
        <v>15</v>
      </c>
      <c r="C44" s="23" t="s">
        <v>10</v>
      </c>
      <c r="D44" s="23">
        <v>4</v>
      </c>
      <c r="E44" s="23">
        <v>9</v>
      </c>
      <c r="F44" s="23">
        <v>4.92</v>
      </c>
      <c r="K44" t="s">
        <v>5</v>
      </c>
      <c r="L44" s="57" t="s">
        <v>6</v>
      </c>
      <c r="M44" s="61">
        <v>1.76</v>
      </c>
    </row>
    <row r="45" spans="2:13">
      <c r="B45" t="s">
        <v>15</v>
      </c>
      <c r="C45" s="23" t="s">
        <v>7</v>
      </c>
      <c r="D45" s="23">
        <v>4</v>
      </c>
      <c r="E45" s="23">
        <v>10</v>
      </c>
      <c r="F45" s="23">
        <v>4.88</v>
      </c>
      <c r="K45" t="s">
        <v>12</v>
      </c>
      <c r="L45" s="57" t="s">
        <v>8</v>
      </c>
      <c r="M45" s="61">
        <v>0.64</v>
      </c>
    </row>
    <row r="46" spans="2:13">
      <c r="B46" t="s">
        <v>15</v>
      </c>
      <c r="C46" s="23" t="s">
        <v>6</v>
      </c>
      <c r="D46" s="23">
        <v>4</v>
      </c>
      <c r="E46" s="23">
        <v>11</v>
      </c>
      <c r="F46" s="23">
        <v>1.74</v>
      </c>
      <c r="K46" t="s">
        <v>12</v>
      </c>
      <c r="L46" s="57" t="s">
        <v>7</v>
      </c>
      <c r="M46" s="61">
        <v>4.833333333333333</v>
      </c>
    </row>
    <row r="47" spans="2:13">
      <c r="B47" t="s">
        <v>15</v>
      </c>
      <c r="C47" s="23" t="s">
        <v>6</v>
      </c>
      <c r="D47" s="23">
        <v>5</v>
      </c>
      <c r="E47" s="23">
        <v>1</v>
      </c>
      <c r="F47" s="23">
        <v>7.3</v>
      </c>
      <c r="K47" t="s">
        <v>12</v>
      </c>
      <c r="L47" s="57" t="s">
        <v>10</v>
      </c>
      <c r="M47" s="61">
        <v>3.3966666666666665</v>
      </c>
    </row>
    <row r="48" spans="2:13">
      <c r="B48" t="s">
        <v>15</v>
      </c>
      <c r="C48" s="23" t="s">
        <v>7</v>
      </c>
      <c r="D48" s="23">
        <v>5</v>
      </c>
      <c r="E48" s="23">
        <v>2</v>
      </c>
      <c r="F48" s="23">
        <v>14.3</v>
      </c>
      <c r="K48" t="s">
        <v>12</v>
      </c>
      <c r="L48" s="57" t="s">
        <v>9</v>
      </c>
      <c r="M48" s="61">
        <v>3.5533333333333328</v>
      </c>
    </row>
    <row r="49" spans="2:13">
      <c r="B49" t="s">
        <v>15</v>
      </c>
      <c r="C49" s="23" t="s">
        <v>8</v>
      </c>
      <c r="D49" s="23">
        <v>5</v>
      </c>
      <c r="E49" s="23">
        <v>3</v>
      </c>
      <c r="F49" s="23">
        <v>4.22</v>
      </c>
      <c r="K49" t="s">
        <v>12</v>
      </c>
      <c r="L49" s="57" t="s">
        <v>6</v>
      </c>
      <c r="M49" s="61">
        <v>1.7422222222222221</v>
      </c>
    </row>
    <row r="50" spans="2:13">
      <c r="B50" t="s">
        <v>15</v>
      </c>
      <c r="C50" s="23" t="s">
        <v>6</v>
      </c>
      <c r="D50" s="23">
        <v>5</v>
      </c>
      <c r="E50" s="23">
        <v>4</v>
      </c>
      <c r="F50" s="23">
        <v>6.92</v>
      </c>
      <c r="K50" t="s">
        <v>13</v>
      </c>
      <c r="L50" s="57" t="s">
        <v>8</v>
      </c>
      <c r="M50" s="61">
        <v>3.0266666666666668</v>
      </c>
    </row>
    <row r="51" spans="2:13">
      <c r="B51" t="s">
        <v>15</v>
      </c>
      <c r="C51" s="23" t="s">
        <v>9</v>
      </c>
      <c r="D51" s="23">
        <v>5</v>
      </c>
      <c r="E51" s="23">
        <v>5</v>
      </c>
      <c r="F51" s="23">
        <v>7.16</v>
      </c>
      <c r="K51" t="s">
        <v>13</v>
      </c>
      <c r="L51" s="57" t="s">
        <v>7</v>
      </c>
      <c r="M51" s="61">
        <v>8.7900000000000009</v>
      </c>
    </row>
    <row r="52" spans="2:13">
      <c r="B52" t="s">
        <v>15</v>
      </c>
      <c r="C52" s="23" t="s">
        <v>10</v>
      </c>
      <c r="D52" s="23">
        <v>5</v>
      </c>
      <c r="E52" s="23">
        <v>6</v>
      </c>
      <c r="F52" s="23">
        <v>9.1199999999999992</v>
      </c>
      <c r="K52" t="s">
        <v>13</v>
      </c>
      <c r="L52" s="57" t="s">
        <v>10</v>
      </c>
      <c r="M52" s="61">
        <v>5.91</v>
      </c>
    </row>
    <row r="53" spans="2:13">
      <c r="B53" t="s">
        <v>15</v>
      </c>
      <c r="C53" s="23" t="s">
        <v>8</v>
      </c>
      <c r="D53" s="23">
        <v>5</v>
      </c>
      <c r="E53" s="23">
        <v>7</v>
      </c>
      <c r="F53" s="23">
        <v>3.12</v>
      </c>
      <c r="K53" t="s">
        <v>13</v>
      </c>
      <c r="L53" s="57" t="s">
        <v>9</v>
      </c>
      <c r="M53" s="61">
        <v>6</v>
      </c>
    </row>
    <row r="54" spans="2:13">
      <c r="B54" t="s">
        <v>15</v>
      </c>
      <c r="C54" s="23" t="s">
        <v>9</v>
      </c>
      <c r="D54" s="23">
        <v>5</v>
      </c>
      <c r="E54" s="23">
        <v>8</v>
      </c>
      <c r="F54" s="23">
        <v>8.06</v>
      </c>
      <c r="K54" t="s">
        <v>13</v>
      </c>
      <c r="L54" s="57" t="s">
        <v>6</v>
      </c>
      <c r="M54" s="61">
        <v>4.5</v>
      </c>
    </row>
    <row r="55" spans="2:13">
      <c r="B55" t="s">
        <v>15</v>
      </c>
      <c r="C55" s="23" t="s">
        <v>10</v>
      </c>
      <c r="D55" s="23">
        <v>5</v>
      </c>
      <c r="E55" s="23">
        <v>9</v>
      </c>
      <c r="F55" s="23">
        <v>6.08</v>
      </c>
    </row>
    <row r="56" spans="2:13">
      <c r="B56" t="s">
        <v>15</v>
      </c>
      <c r="C56" s="23" t="s">
        <v>7</v>
      </c>
      <c r="D56" s="23">
        <v>5</v>
      </c>
      <c r="E56" s="23">
        <v>10</v>
      </c>
      <c r="F56" s="23">
        <v>4.96</v>
      </c>
    </row>
    <row r="57" spans="2:13">
      <c r="B57" t="s">
        <v>15</v>
      </c>
      <c r="C57" s="23" t="s">
        <v>6</v>
      </c>
      <c r="D57" s="23">
        <v>5</v>
      </c>
      <c r="E57" s="23">
        <v>11</v>
      </c>
      <c r="F57" s="23">
        <v>2.88</v>
      </c>
    </row>
    <row r="58" spans="2:13">
      <c r="B58" t="s">
        <v>15</v>
      </c>
      <c r="C58" s="23" t="s">
        <v>6</v>
      </c>
      <c r="D58" s="23">
        <v>6</v>
      </c>
      <c r="E58" s="23">
        <v>1</v>
      </c>
      <c r="F58" s="23">
        <v>5.48</v>
      </c>
    </row>
    <row r="59" spans="2:13">
      <c r="B59" t="s">
        <v>15</v>
      </c>
      <c r="C59" s="23" t="s">
        <v>7</v>
      </c>
      <c r="D59" s="23">
        <v>6</v>
      </c>
      <c r="E59" s="23">
        <v>2</v>
      </c>
      <c r="F59" s="23">
        <v>4.9000000000000004</v>
      </c>
    </row>
    <row r="60" spans="2:13">
      <c r="B60" t="s">
        <v>15</v>
      </c>
      <c r="C60" s="23" t="s">
        <v>8</v>
      </c>
      <c r="D60" s="23">
        <v>6</v>
      </c>
      <c r="E60" s="23">
        <v>3</v>
      </c>
      <c r="F60" s="23">
        <v>2.2999999999999998</v>
      </c>
    </row>
    <row r="61" spans="2:13">
      <c r="B61" t="s">
        <v>15</v>
      </c>
      <c r="C61" s="23" t="s">
        <v>6</v>
      </c>
      <c r="D61" s="23">
        <v>6</v>
      </c>
      <c r="E61" s="23">
        <v>4</v>
      </c>
      <c r="F61" s="23">
        <v>6.8</v>
      </c>
    </row>
    <row r="62" spans="2:13">
      <c r="B62" t="s">
        <v>15</v>
      </c>
      <c r="C62" s="23" t="s">
        <v>9</v>
      </c>
      <c r="D62" s="23">
        <v>6</v>
      </c>
      <c r="E62" s="23">
        <v>5</v>
      </c>
      <c r="F62" s="23">
        <v>4.04</v>
      </c>
    </row>
    <row r="63" spans="2:13">
      <c r="B63" t="s">
        <v>15</v>
      </c>
      <c r="C63" s="23" t="s">
        <v>10</v>
      </c>
      <c r="D63" s="23">
        <v>6</v>
      </c>
      <c r="E63" s="23">
        <v>6</v>
      </c>
      <c r="F63" s="23">
        <v>7.48</v>
      </c>
    </row>
    <row r="64" spans="2:13">
      <c r="B64" t="s">
        <v>15</v>
      </c>
      <c r="C64" s="23" t="s">
        <v>8</v>
      </c>
      <c r="D64" s="23">
        <v>6</v>
      </c>
      <c r="E64" s="23">
        <v>7</v>
      </c>
      <c r="F64" s="23">
        <v>3.34</v>
      </c>
    </row>
    <row r="65" spans="2:6">
      <c r="B65" t="s">
        <v>15</v>
      </c>
      <c r="C65" s="23" t="s">
        <v>9</v>
      </c>
      <c r="D65" s="23">
        <v>6</v>
      </c>
      <c r="E65" s="23">
        <v>8</v>
      </c>
      <c r="F65" s="23">
        <v>6.24</v>
      </c>
    </row>
    <row r="66" spans="2:6">
      <c r="B66" t="s">
        <v>15</v>
      </c>
      <c r="C66" s="23" t="s">
        <v>10</v>
      </c>
      <c r="D66" s="23">
        <v>6</v>
      </c>
      <c r="E66" s="23">
        <v>9</v>
      </c>
      <c r="F66" s="23">
        <v>4.34</v>
      </c>
    </row>
    <row r="67" spans="2:6">
      <c r="B67" t="s">
        <v>15</v>
      </c>
      <c r="C67" s="23" t="s">
        <v>7</v>
      </c>
      <c r="D67" s="23">
        <v>6</v>
      </c>
      <c r="E67" s="23">
        <v>10</v>
      </c>
      <c r="F67" s="23">
        <v>3.28</v>
      </c>
    </row>
    <row r="68" spans="2:6">
      <c r="B68" t="s">
        <v>15</v>
      </c>
      <c r="C68" s="23" t="s">
        <v>6</v>
      </c>
      <c r="D68" s="23">
        <v>6</v>
      </c>
      <c r="E68" s="23">
        <v>11</v>
      </c>
      <c r="F68" s="23">
        <v>2.14</v>
      </c>
    </row>
    <row r="69" spans="2:6">
      <c r="B69" t="s">
        <v>16</v>
      </c>
      <c r="C69" s="23" t="s">
        <v>6</v>
      </c>
      <c r="D69" s="23">
        <v>7</v>
      </c>
      <c r="E69" s="23">
        <v>1</v>
      </c>
      <c r="F69" s="23">
        <v>1.6</v>
      </c>
    </row>
    <row r="70" spans="2:6">
      <c r="B70" t="s">
        <v>16</v>
      </c>
      <c r="C70" s="23" t="s">
        <v>7</v>
      </c>
      <c r="D70" s="23">
        <v>7</v>
      </c>
      <c r="E70" s="23">
        <v>2</v>
      </c>
      <c r="F70" s="23">
        <v>3.54</v>
      </c>
    </row>
    <row r="71" spans="2:6">
      <c r="B71" t="s">
        <v>16</v>
      </c>
      <c r="C71" s="23" t="s">
        <v>8</v>
      </c>
      <c r="D71" s="23">
        <v>7</v>
      </c>
      <c r="E71" s="23">
        <v>3</v>
      </c>
      <c r="F71" s="23">
        <v>0.72</v>
      </c>
    </row>
    <row r="72" spans="2:6">
      <c r="B72" t="s">
        <v>16</v>
      </c>
      <c r="C72" s="23" t="s">
        <v>6</v>
      </c>
      <c r="D72" s="23">
        <v>7</v>
      </c>
      <c r="E72" s="23">
        <v>4</v>
      </c>
      <c r="F72" s="23">
        <v>1.32</v>
      </c>
    </row>
    <row r="73" spans="2:6">
      <c r="B73" t="s">
        <v>16</v>
      </c>
      <c r="C73" s="23" t="s">
        <v>9</v>
      </c>
      <c r="D73" s="23">
        <v>7</v>
      </c>
      <c r="E73" s="23">
        <v>5</v>
      </c>
      <c r="F73" s="23">
        <v>2.78</v>
      </c>
    </row>
    <row r="74" spans="2:6">
      <c r="B74" t="s">
        <v>16</v>
      </c>
      <c r="C74" s="23" t="s">
        <v>10</v>
      </c>
      <c r="D74" s="23">
        <v>7</v>
      </c>
      <c r="E74" s="23">
        <v>6</v>
      </c>
      <c r="F74" s="23">
        <v>2.9</v>
      </c>
    </row>
    <row r="75" spans="2:6">
      <c r="B75" t="s">
        <v>16</v>
      </c>
      <c r="C75" s="23" t="s">
        <v>8</v>
      </c>
      <c r="D75" s="23">
        <v>7</v>
      </c>
      <c r="E75" s="23">
        <v>7</v>
      </c>
      <c r="F75" s="23">
        <v>0.44</v>
      </c>
    </row>
    <row r="76" spans="2:6">
      <c r="B76" t="s">
        <v>16</v>
      </c>
      <c r="C76" s="23" t="s">
        <v>9</v>
      </c>
      <c r="D76" s="23">
        <v>7</v>
      </c>
      <c r="E76" s="23">
        <v>8</v>
      </c>
      <c r="F76" s="23">
        <v>1.5</v>
      </c>
    </row>
    <row r="77" spans="2:6">
      <c r="B77" t="s">
        <v>16</v>
      </c>
      <c r="C77" s="23" t="s">
        <v>10</v>
      </c>
      <c r="D77" s="23">
        <v>7</v>
      </c>
      <c r="E77" s="23">
        <v>9</v>
      </c>
      <c r="F77" s="23">
        <v>3.06</v>
      </c>
    </row>
    <row r="78" spans="2:6">
      <c r="B78" t="s">
        <v>16</v>
      </c>
      <c r="C78" s="23" t="s">
        <v>7</v>
      </c>
      <c r="D78" s="23">
        <v>7</v>
      </c>
      <c r="E78" s="23">
        <v>10</v>
      </c>
      <c r="F78" s="23">
        <v>4.8</v>
      </c>
    </row>
    <row r="79" spans="2:6">
      <c r="B79" t="s">
        <v>16</v>
      </c>
      <c r="C79" s="23" t="s">
        <v>6</v>
      </c>
      <c r="D79" s="23">
        <v>7</v>
      </c>
      <c r="E79" s="23">
        <v>11</v>
      </c>
      <c r="F79" s="23">
        <v>1.46</v>
      </c>
    </row>
    <row r="80" spans="2:6">
      <c r="B80" t="s">
        <v>16</v>
      </c>
      <c r="C80" s="23" t="s">
        <v>6</v>
      </c>
      <c r="D80" s="23">
        <v>8</v>
      </c>
      <c r="E80" s="23">
        <v>1</v>
      </c>
      <c r="F80" s="23">
        <v>0.54</v>
      </c>
    </row>
    <row r="81" spans="2:6">
      <c r="B81" t="s">
        <v>16</v>
      </c>
      <c r="C81" s="23" t="s">
        <v>7</v>
      </c>
      <c r="D81" s="23">
        <v>8</v>
      </c>
      <c r="E81" s="23">
        <v>2</v>
      </c>
      <c r="F81" s="23">
        <v>4.66</v>
      </c>
    </row>
    <row r="82" spans="2:6">
      <c r="B82" t="s">
        <v>16</v>
      </c>
      <c r="C82" s="23" t="s">
        <v>8</v>
      </c>
      <c r="D82" s="23">
        <v>8</v>
      </c>
      <c r="E82" s="23">
        <v>3</v>
      </c>
      <c r="F82" s="23">
        <v>1.3</v>
      </c>
    </row>
    <row r="83" spans="2:6">
      <c r="B83" t="s">
        <v>16</v>
      </c>
      <c r="C83" s="23" t="s">
        <v>6</v>
      </c>
      <c r="D83" s="23">
        <v>8</v>
      </c>
      <c r="E83" s="23">
        <v>4</v>
      </c>
      <c r="F83" s="23">
        <v>2.46</v>
      </c>
    </row>
    <row r="84" spans="2:6">
      <c r="B84" t="s">
        <v>16</v>
      </c>
      <c r="C84" s="23" t="s">
        <v>9</v>
      </c>
      <c r="D84" s="23">
        <v>8</v>
      </c>
      <c r="E84" s="23">
        <v>5</v>
      </c>
      <c r="F84" s="23">
        <v>6.8</v>
      </c>
    </row>
    <row r="85" spans="2:6">
      <c r="B85" t="s">
        <v>16</v>
      </c>
      <c r="C85" s="23" t="s">
        <v>10</v>
      </c>
      <c r="D85" s="23">
        <v>8</v>
      </c>
      <c r="E85" s="23">
        <v>6</v>
      </c>
      <c r="F85" s="23">
        <v>4.2</v>
      </c>
    </row>
    <row r="86" spans="2:6">
      <c r="B86" t="s">
        <v>16</v>
      </c>
      <c r="C86" s="23" t="s">
        <v>8</v>
      </c>
      <c r="D86" s="23">
        <v>8</v>
      </c>
      <c r="E86" s="23">
        <v>7</v>
      </c>
      <c r="F86" s="23">
        <v>0.4</v>
      </c>
    </row>
    <row r="87" spans="2:6">
      <c r="B87" t="s">
        <v>16</v>
      </c>
      <c r="C87" s="23" t="s">
        <v>9</v>
      </c>
      <c r="D87" s="23">
        <v>8</v>
      </c>
      <c r="E87" s="23">
        <v>8</v>
      </c>
      <c r="F87" s="23">
        <v>4.8</v>
      </c>
    </row>
    <row r="88" spans="2:6">
      <c r="B88" t="s">
        <v>16</v>
      </c>
      <c r="C88" s="23" t="s">
        <v>10</v>
      </c>
      <c r="D88" s="23">
        <v>8</v>
      </c>
      <c r="E88" s="23">
        <v>9</v>
      </c>
      <c r="F88" s="23">
        <v>2.2799999999999998</v>
      </c>
    </row>
    <row r="89" spans="2:6">
      <c r="B89" t="s">
        <v>16</v>
      </c>
      <c r="C89" s="23" t="s">
        <v>7</v>
      </c>
      <c r="D89" s="23">
        <v>8</v>
      </c>
      <c r="E89" s="23">
        <v>10</v>
      </c>
      <c r="F89" s="23">
        <v>2.84</v>
      </c>
    </row>
    <row r="90" spans="2:6">
      <c r="B90" t="s">
        <v>16</v>
      </c>
      <c r="C90" s="23" t="s">
        <v>6</v>
      </c>
      <c r="D90" s="23">
        <v>8</v>
      </c>
      <c r="E90" s="23">
        <v>11</v>
      </c>
      <c r="F90" s="23">
        <v>2.16</v>
      </c>
    </row>
    <row r="91" spans="2:6">
      <c r="B91" t="s">
        <v>16</v>
      </c>
      <c r="C91" s="23" t="s">
        <v>6</v>
      </c>
      <c r="D91" s="23">
        <v>9</v>
      </c>
      <c r="E91" s="23">
        <v>1</v>
      </c>
      <c r="F91" s="23">
        <v>1.64</v>
      </c>
    </row>
    <row r="92" spans="2:6">
      <c r="B92" t="s">
        <v>16</v>
      </c>
      <c r="C92" s="23" t="s">
        <v>7</v>
      </c>
      <c r="D92" s="23">
        <v>9</v>
      </c>
      <c r="E92" s="23">
        <v>2</v>
      </c>
      <c r="F92" s="23">
        <v>8.94</v>
      </c>
    </row>
    <row r="93" spans="2:6">
      <c r="B93" t="s">
        <v>16</v>
      </c>
      <c r="C93" s="23" t="s">
        <v>8</v>
      </c>
      <c r="D93" s="23">
        <v>9</v>
      </c>
      <c r="E93" s="23">
        <v>3</v>
      </c>
      <c r="F93" s="23">
        <v>0.98</v>
      </c>
    </row>
    <row r="94" spans="2:6">
      <c r="B94" t="s">
        <v>16</v>
      </c>
      <c r="C94" s="23" t="s">
        <v>6</v>
      </c>
      <c r="D94" s="23">
        <v>9</v>
      </c>
      <c r="E94" s="23">
        <v>4</v>
      </c>
      <c r="F94" s="23">
        <v>2.92</v>
      </c>
    </row>
    <row r="95" spans="2:6">
      <c r="B95" t="s">
        <v>16</v>
      </c>
      <c r="C95" s="23" t="s">
        <v>9</v>
      </c>
      <c r="D95" s="23">
        <v>9</v>
      </c>
      <c r="E95" s="23">
        <v>5</v>
      </c>
      <c r="F95" s="23">
        <v>2.88</v>
      </c>
    </row>
    <row r="96" spans="2:6">
      <c r="B96" t="s">
        <v>16</v>
      </c>
      <c r="C96" s="23" t="s">
        <v>10</v>
      </c>
      <c r="D96" s="23">
        <v>9</v>
      </c>
      <c r="E96" s="23">
        <v>6</v>
      </c>
      <c r="F96" s="23">
        <v>5.14</v>
      </c>
    </row>
    <row r="97" spans="2:6">
      <c r="B97" t="s">
        <v>16</v>
      </c>
      <c r="C97" s="23" t="s">
        <v>8</v>
      </c>
      <c r="D97" s="23">
        <v>9</v>
      </c>
      <c r="E97" s="23">
        <v>7</v>
      </c>
      <c r="F97" s="23">
        <v>0</v>
      </c>
    </row>
    <row r="98" spans="2:6">
      <c r="B98" t="s">
        <v>16</v>
      </c>
      <c r="C98" s="23" t="s">
        <v>9</v>
      </c>
      <c r="D98" s="23">
        <v>9</v>
      </c>
      <c r="E98" s="23">
        <v>8</v>
      </c>
      <c r="F98" s="23">
        <v>2.56</v>
      </c>
    </row>
    <row r="99" spans="2:6">
      <c r="B99" t="s">
        <v>16</v>
      </c>
      <c r="C99" s="23" t="s">
        <v>10</v>
      </c>
      <c r="D99" s="23">
        <v>9</v>
      </c>
      <c r="E99" s="23">
        <v>9</v>
      </c>
      <c r="F99" s="23">
        <v>2.8</v>
      </c>
    </row>
    <row r="100" spans="2:6">
      <c r="B100" t="s">
        <v>16</v>
      </c>
      <c r="C100" s="23" t="s">
        <v>7</v>
      </c>
      <c r="D100" s="23">
        <v>9</v>
      </c>
      <c r="E100" s="23">
        <v>10</v>
      </c>
      <c r="F100" s="23">
        <v>4.22</v>
      </c>
    </row>
    <row r="101" spans="2:6">
      <c r="B101" t="s">
        <v>16</v>
      </c>
      <c r="C101" s="23" t="s">
        <v>6</v>
      </c>
      <c r="D101" s="23">
        <v>9</v>
      </c>
      <c r="E101" s="23">
        <v>11</v>
      </c>
      <c r="F101" s="23">
        <v>1.58</v>
      </c>
    </row>
    <row r="102" spans="2:6">
      <c r="B102" t="s">
        <v>17</v>
      </c>
      <c r="C102" s="23" t="s">
        <v>6</v>
      </c>
      <c r="D102" s="23">
        <v>10</v>
      </c>
      <c r="E102" s="23">
        <v>1</v>
      </c>
      <c r="F102" s="23">
        <v>3.98</v>
      </c>
    </row>
    <row r="103" spans="2:6">
      <c r="B103" t="s">
        <v>17</v>
      </c>
      <c r="C103" s="23" t="s">
        <v>7</v>
      </c>
      <c r="D103" s="23">
        <v>10</v>
      </c>
      <c r="E103" s="23">
        <v>2</v>
      </c>
      <c r="F103" s="23">
        <v>11.8</v>
      </c>
    </row>
    <row r="104" spans="2:6">
      <c r="B104" t="s">
        <v>17</v>
      </c>
      <c r="C104" s="23" t="s">
        <v>8</v>
      </c>
      <c r="D104" s="23">
        <v>10</v>
      </c>
      <c r="E104" s="23">
        <v>3</v>
      </c>
      <c r="F104" s="23">
        <v>3.1</v>
      </c>
    </row>
    <row r="105" spans="2:6">
      <c r="B105" t="s">
        <v>17</v>
      </c>
      <c r="C105" s="23" t="s">
        <v>6</v>
      </c>
      <c r="D105" s="23">
        <v>10</v>
      </c>
      <c r="E105" s="23">
        <v>4</v>
      </c>
      <c r="F105" s="23">
        <v>5.38</v>
      </c>
    </row>
    <row r="106" spans="2:6">
      <c r="B106" t="s">
        <v>17</v>
      </c>
      <c r="C106" s="23" t="s">
        <v>9</v>
      </c>
      <c r="D106" s="23">
        <v>10</v>
      </c>
      <c r="E106" s="23">
        <v>5</v>
      </c>
      <c r="F106" s="23">
        <v>9.34</v>
      </c>
    </row>
    <row r="107" spans="2:6">
      <c r="B107" t="s">
        <v>17</v>
      </c>
      <c r="C107" s="23" t="s">
        <v>10</v>
      </c>
      <c r="D107" s="23">
        <v>10</v>
      </c>
      <c r="E107" s="23">
        <v>6</v>
      </c>
      <c r="F107" s="23">
        <v>5.34</v>
      </c>
    </row>
    <row r="108" spans="2:6">
      <c r="B108" t="s">
        <v>17</v>
      </c>
      <c r="C108" s="23" t="s">
        <v>8</v>
      </c>
      <c r="D108" s="23">
        <v>10</v>
      </c>
      <c r="E108" s="23">
        <v>7</v>
      </c>
      <c r="F108" s="23">
        <v>3.4</v>
      </c>
    </row>
    <row r="109" spans="2:6">
      <c r="B109" t="s">
        <v>17</v>
      </c>
      <c r="C109" s="23" t="s">
        <v>9</v>
      </c>
      <c r="D109" s="23">
        <v>10</v>
      </c>
      <c r="E109" s="23">
        <v>8</v>
      </c>
      <c r="F109" s="23">
        <v>5.64</v>
      </c>
    </row>
    <row r="110" spans="2:6">
      <c r="B110" t="s">
        <v>17</v>
      </c>
      <c r="C110" s="23" t="s">
        <v>10</v>
      </c>
      <c r="D110" s="23">
        <v>10</v>
      </c>
      <c r="E110" s="23">
        <v>9</v>
      </c>
      <c r="F110" s="23">
        <v>6.28</v>
      </c>
    </row>
    <row r="111" spans="2:6">
      <c r="B111" t="s">
        <v>17</v>
      </c>
      <c r="C111" s="23" t="s">
        <v>7</v>
      </c>
      <c r="D111" s="23">
        <v>10</v>
      </c>
      <c r="E111" s="23">
        <v>10</v>
      </c>
      <c r="F111" s="23">
        <v>9.14</v>
      </c>
    </row>
    <row r="112" spans="2:6">
      <c r="B112" t="s">
        <v>17</v>
      </c>
      <c r="C112" s="23" t="s">
        <v>6</v>
      </c>
      <c r="D112" s="23">
        <v>10</v>
      </c>
      <c r="E112" s="23">
        <v>11</v>
      </c>
      <c r="F112" s="23">
        <v>4.68</v>
      </c>
    </row>
    <row r="113" spans="2:6">
      <c r="B113" t="s">
        <v>17</v>
      </c>
      <c r="C113" s="23" t="s">
        <v>6</v>
      </c>
      <c r="D113" s="23">
        <v>11</v>
      </c>
      <c r="E113" s="23">
        <v>1</v>
      </c>
      <c r="F113" s="23">
        <v>3.08</v>
      </c>
    </row>
    <row r="114" spans="2:6">
      <c r="B114" t="s">
        <v>17</v>
      </c>
      <c r="C114" s="23" t="s">
        <v>7</v>
      </c>
      <c r="D114" s="23">
        <v>11</v>
      </c>
      <c r="E114" s="23">
        <v>2</v>
      </c>
      <c r="F114" s="23">
        <v>9.36</v>
      </c>
    </row>
    <row r="115" spans="2:6">
      <c r="B115" t="s">
        <v>17</v>
      </c>
      <c r="C115" s="23" t="s">
        <v>8</v>
      </c>
      <c r="D115" s="23">
        <v>11</v>
      </c>
      <c r="E115" s="23">
        <v>3</v>
      </c>
      <c r="F115" s="23">
        <v>3.68</v>
      </c>
    </row>
    <row r="116" spans="2:6">
      <c r="B116" t="s">
        <v>17</v>
      </c>
      <c r="C116" s="23" t="s">
        <v>6</v>
      </c>
      <c r="D116" s="23">
        <v>11</v>
      </c>
      <c r="E116" s="23">
        <v>4</v>
      </c>
      <c r="F116" s="23">
        <v>5.34</v>
      </c>
    </row>
    <row r="117" spans="2:6">
      <c r="B117" t="s">
        <v>17</v>
      </c>
      <c r="C117" s="23" t="s">
        <v>9</v>
      </c>
      <c r="D117" s="23">
        <v>11</v>
      </c>
      <c r="E117" s="23">
        <v>5</v>
      </c>
      <c r="F117" s="23">
        <v>5.24</v>
      </c>
    </row>
    <row r="118" spans="2:6">
      <c r="B118" t="s">
        <v>17</v>
      </c>
      <c r="C118" s="23" t="s">
        <v>10</v>
      </c>
      <c r="D118" s="23">
        <v>11</v>
      </c>
      <c r="E118" s="23">
        <v>6</v>
      </c>
      <c r="F118" s="23">
        <v>9.42</v>
      </c>
    </row>
    <row r="119" spans="2:6">
      <c r="B119" t="s">
        <v>17</v>
      </c>
      <c r="C119" s="23" t="s">
        <v>8</v>
      </c>
      <c r="D119" s="23">
        <v>11</v>
      </c>
      <c r="E119" s="23">
        <v>7</v>
      </c>
      <c r="F119" s="23">
        <v>3.22</v>
      </c>
    </row>
    <row r="120" spans="2:6">
      <c r="B120" t="s">
        <v>17</v>
      </c>
      <c r="C120" s="23" t="s">
        <v>9</v>
      </c>
      <c r="D120" s="23">
        <v>11</v>
      </c>
      <c r="E120" s="23">
        <v>8</v>
      </c>
      <c r="F120" s="23">
        <v>4.1399999999999997</v>
      </c>
    </row>
    <row r="121" spans="2:6">
      <c r="B121" t="s">
        <v>17</v>
      </c>
      <c r="C121" s="23" t="s">
        <v>10</v>
      </c>
      <c r="D121" s="23">
        <v>11</v>
      </c>
      <c r="E121" s="23">
        <v>9</v>
      </c>
      <c r="F121" s="23">
        <v>2.9</v>
      </c>
    </row>
    <row r="122" spans="2:6">
      <c r="B122" t="s">
        <v>17</v>
      </c>
      <c r="C122" s="23" t="s">
        <v>7</v>
      </c>
      <c r="D122" s="23">
        <v>11</v>
      </c>
      <c r="E122" s="23">
        <v>10</v>
      </c>
      <c r="F122" s="23">
        <v>8.32</v>
      </c>
    </row>
    <row r="123" spans="2:6">
      <c r="B123" t="s">
        <v>17</v>
      </c>
      <c r="C123" s="23" t="s">
        <v>6</v>
      </c>
      <c r="D123" s="23">
        <v>11</v>
      </c>
      <c r="E123" s="23">
        <v>11</v>
      </c>
      <c r="F123" s="23">
        <v>2.12</v>
      </c>
    </row>
    <row r="124" spans="2:6">
      <c r="B124" t="s">
        <v>17</v>
      </c>
      <c r="C124" s="23" t="s">
        <v>6</v>
      </c>
      <c r="D124" s="23">
        <v>12</v>
      </c>
      <c r="E124" s="23">
        <v>1</v>
      </c>
      <c r="F124" s="23">
        <v>3.18</v>
      </c>
    </row>
    <row r="125" spans="2:6">
      <c r="B125" t="s">
        <v>17</v>
      </c>
      <c r="C125" s="23" t="s">
        <v>7</v>
      </c>
      <c r="D125" s="23">
        <v>12</v>
      </c>
      <c r="E125" s="23">
        <v>2</v>
      </c>
      <c r="F125" s="23">
        <v>6.7</v>
      </c>
    </row>
    <row r="126" spans="2:6">
      <c r="B126" t="s">
        <v>17</v>
      </c>
      <c r="C126" s="23" t="s">
        <v>8</v>
      </c>
      <c r="D126" s="23">
        <v>12</v>
      </c>
      <c r="E126" s="23">
        <v>3</v>
      </c>
      <c r="F126" s="23">
        <v>2</v>
      </c>
    </row>
    <row r="127" spans="2:6">
      <c r="B127" t="s">
        <v>17</v>
      </c>
      <c r="C127" s="23" t="s">
        <v>6</v>
      </c>
      <c r="D127" s="23">
        <v>12</v>
      </c>
      <c r="E127" s="23">
        <v>4</v>
      </c>
      <c r="F127" s="23">
        <v>8.18</v>
      </c>
    </row>
    <row r="128" spans="2:6">
      <c r="B128" t="s">
        <v>17</v>
      </c>
      <c r="C128" s="23" t="s">
        <v>9</v>
      </c>
      <c r="D128" s="23">
        <v>12</v>
      </c>
      <c r="E128" s="23">
        <v>5</v>
      </c>
      <c r="F128" s="23">
        <v>9.0399999999999991</v>
      </c>
    </row>
    <row r="129" spans="2:6">
      <c r="B129" t="s">
        <v>17</v>
      </c>
      <c r="C129" s="23" t="s">
        <v>10</v>
      </c>
      <c r="D129" s="23">
        <v>12</v>
      </c>
      <c r="E129" s="23">
        <v>6</v>
      </c>
      <c r="F129" s="23">
        <v>5.94</v>
      </c>
    </row>
    <row r="130" spans="2:6">
      <c r="B130" t="s">
        <v>17</v>
      </c>
      <c r="C130" s="23" t="s">
        <v>8</v>
      </c>
      <c r="D130" s="23">
        <v>12</v>
      </c>
      <c r="E130" s="23">
        <v>7</v>
      </c>
      <c r="F130" s="23">
        <v>2.76</v>
      </c>
    </row>
    <row r="131" spans="2:6">
      <c r="B131" t="s">
        <v>17</v>
      </c>
      <c r="C131" s="23" t="s">
        <v>9</v>
      </c>
      <c r="D131" s="23">
        <v>12</v>
      </c>
      <c r="E131" s="23">
        <v>8</v>
      </c>
      <c r="F131" s="23">
        <v>2.6</v>
      </c>
    </row>
    <row r="132" spans="2:6">
      <c r="B132" t="s">
        <v>17</v>
      </c>
      <c r="C132" s="23" t="s">
        <v>10</v>
      </c>
      <c r="D132" s="23">
        <v>12</v>
      </c>
      <c r="E132" s="23">
        <v>9</v>
      </c>
      <c r="F132" s="23">
        <v>5.58</v>
      </c>
    </row>
    <row r="133" spans="2:6">
      <c r="B133" t="s">
        <v>17</v>
      </c>
      <c r="C133" s="23" t="s">
        <v>7</v>
      </c>
      <c r="D133" s="23">
        <v>12</v>
      </c>
      <c r="E133" s="23">
        <v>10</v>
      </c>
      <c r="F133" s="23">
        <v>7.42</v>
      </c>
    </row>
    <row r="134" spans="2:6">
      <c r="B134" t="s">
        <v>17</v>
      </c>
      <c r="C134" s="23" t="s">
        <v>6</v>
      </c>
      <c r="D134" s="23">
        <v>12</v>
      </c>
      <c r="E134" s="23">
        <v>11</v>
      </c>
      <c r="F134" s="23">
        <v>4.5599999999999996</v>
      </c>
    </row>
  </sheetData>
  <autoFilter ref="B2:F134" xr:uid="{1474E808-6DB7-4D2C-B51A-481B7C96A08D}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1C14-CAB2-4CA6-B8F8-16863A3A492C}">
  <dimension ref="A1:Z256"/>
  <sheetViews>
    <sheetView zoomScale="130" zoomScaleNormal="130" workbookViewId="0">
      <selection activeCell="AA6" sqref="AA6"/>
    </sheetView>
  </sheetViews>
  <sheetFormatPr defaultColWidth="8.77734375" defaultRowHeight="14.4"/>
  <cols>
    <col min="1" max="1" width="13.77734375" style="2" bestFit="1" customWidth="1"/>
    <col min="2" max="3" width="8.77734375" style="2"/>
    <col min="4" max="4" width="18" style="2" bestFit="1" customWidth="1"/>
    <col min="5" max="18" width="8.77734375" style="2"/>
    <col min="19" max="19" width="16.5546875" style="2" bestFit="1" customWidth="1"/>
    <col min="20" max="20" width="17.88671875" style="2" bestFit="1" customWidth="1"/>
    <col min="21" max="21" width="8.77734375" style="2"/>
    <col min="22" max="22" width="17.21875" style="2" bestFit="1" customWidth="1"/>
    <col min="23" max="25" width="8.77734375" style="2"/>
    <col min="27" max="16384" width="8.77734375" style="2"/>
  </cols>
  <sheetData>
    <row r="1" spans="1:26" ht="15" thickBot="1"/>
    <row r="2" spans="1:26">
      <c r="C2" s="98" t="s">
        <v>41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100"/>
      <c r="O2" s="101" t="s">
        <v>22</v>
      </c>
      <c r="P2" s="101"/>
      <c r="Q2" s="101"/>
      <c r="R2" s="101"/>
      <c r="S2" s="102"/>
    </row>
    <row r="3" spans="1:26" s="51" customFormat="1" ht="40.200000000000003" thickBot="1">
      <c r="A3" s="51" t="s">
        <v>37</v>
      </c>
      <c r="B3" s="51" t="s">
        <v>23</v>
      </c>
      <c r="C3" s="5" t="s">
        <v>42</v>
      </c>
      <c r="D3" s="6" t="s">
        <v>43</v>
      </c>
      <c r="E3" s="7" t="s">
        <v>24</v>
      </c>
      <c r="F3" s="8" t="s">
        <v>44</v>
      </c>
      <c r="G3" s="8" t="s">
        <v>45</v>
      </c>
      <c r="H3" s="9" t="s">
        <v>46</v>
      </c>
      <c r="I3" s="10" t="s">
        <v>47</v>
      </c>
      <c r="J3" s="10" t="s">
        <v>48</v>
      </c>
      <c r="K3" s="10" t="s">
        <v>49</v>
      </c>
      <c r="L3" s="11" t="s">
        <v>50</v>
      </c>
      <c r="M3" s="11" t="s">
        <v>25</v>
      </c>
      <c r="N3" s="11" t="s">
        <v>26</v>
      </c>
      <c r="O3" s="12" t="s">
        <v>27</v>
      </c>
      <c r="P3" s="13" t="s">
        <v>28</v>
      </c>
      <c r="Q3" s="14" t="s">
        <v>29</v>
      </c>
      <c r="R3" s="14" t="s">
        <v>30</v>
      </c>
      <c r="S3" s="53" t="s">
        <v>442</v>
      </c>
      <c r="T3" s="51" t="s">
        <v>51</v>
      </c>
      <c r="U3" s="51" t="s">
        <v>443</v>
      </c>
      <c r="V3" s="51" t="s">
        <v>444</v>
      </c>
      <c r="W3" s="51" t="s">
        <v>445</v>
      </c>
      <c r="X3" s="51" t="s">
        <v>446</v>
      </c>
      <c r="Y3" s="51" t="s">
        <v>447</v>
      </c>
      <c r="Z3" s="51" t="s">
        <v>448</v>
      </c>
    </row>
    <row r="4" spans="1:26">
      <c r="A4" s="2" t="s">
        <v>5</v>
      </c>
      <c r="B4" s="2" t="s">
        <v>6</v>
      </c>
      <c r="C4" s="15" t="s">
        <v>32</v>
      </c>
      <c r="D4" s="16" t="s">
        <v>52</v>
      </c>
      <c r="E4" s="15"/>
      <c r="F4" s="17">
        <v>1295.7</v>
      </c>
      <c r="G4" s="17">
        <v>1168.7750000000001</v>
      </c>
      <c r="H4" s="18">
        <v>0.33500000000000002</v>
      </c>
      <c r="I4" s="19">
        <v>1.91</v>
      </c>
      <c r="J4" s="19">
        <v>2</v>
      </c>
      <c r="K4" s="19">
        <v>0.87</v>
      </c>
      <c r="L4" s="20">
        <v>29</v>
      </c>
      <c r="M4" s="28">
        <v>44.544320999999997</v>
      </c>
      <c r="N4" s="28">
        <v>11.382828</v>
      </c>
      <c r="O4" s="26">
        <f>IF(COUNTA(C4:N4),IF(LEFT(E$4,1)="C",ZenithAngle(M4,N4,D4,$I$4),L4),"---")</f>
        <v>29</v>
      </c>
      <c r="P4" s="26">
        <f>IF(O4="---","---",IF(LEFT(E$5,1)="C",beamfraction(O4,F4),K4))</f>
        <v>0.87</v>
      </c>
      <c r="Q4" s="26">
        <f>IF(O4="---","---",SQRT(J4^2+(TAN(RADIANS(O4)))^2)/(J4+1.744*(J4+1.182)^(-0.733)))</f>
        <v>0.75563260596079207</v>
      </c>
      <c r="R4" s="26">
        <f>IF(O4="---","---",G4/F4)</f>
        <v>0.90204136760052489</v>
      </c>
      <c r="S4" s="27">
        <f>IF(O4="---","---",((1-1/(2*Q4))*P4-1)*LN(R4)/(0.86*(1-0.47*P4)))</f>
        <v>0.14311444513899643</v>
      </c>
      <c r="T4" s="2">
        <f>(1-(G4/F4))</f>
        <v>9.795863239947511E-2</v>
      </c>
      <c r="U4" s="2">
        <f>G4/F4*100</f>
        <v>90.204136760052492</v>
      </c>
      <c r="V4" s="2">
        <f t="shared" ref="V4:V67" si="0">T4+U4</f>
        <v>90.30209539245196</v>
      </c>
      <c r="W4" s="2">
        <v>0</v>
      </c>
      <c r="X4" s="2">
        <v>0</v>
      </c>
      <c r="Y4" s="2">
        <v>0</v>
      </c>
      <c r="Z4">
        <f>AVERAGE(T4,W4:Y4)</f>
        <v>2.4489658099868777E-2</v>
      </c>
    </row>
    <row r="5" spans="1:26">
      <c r="A5" s="2" t="s">
        <v>5</v>
      </c>
      <c r="B5" s="2" t="s">
        <v>6</v>
      </c>
      <c r="C5" s="15" t="s">
        <v>32</v>
      </c>
      <c r="D5" s="16" t="s">
        <v>53</v>
      </c>
      <c r="E5" s="15"/>
      <c r="F5" s="17">
        <v>764.5</v>
      </c>
      <c r="G5" s="17">
        <v>278.66250000000002</v>
      </c>
      <c r="H5" s="18">
        <v>0.33500000000000002</v>
      </c>
      <c r="I5" s="19">
        <v>1.91</v>
      </c>
      <c r="J5" s="19">
        <v>2</v>
      </c>
      <c r="K5" s="19">
        <v>0.87</v>
      </c>
      <c r="L5" s="20">
        <v>29</v>
      </c>
      <c r="M5" s="28">
        <v>44.544320999999997</v>
      </c>
      <c r="N5" s="28">
        <v>11.382828</v>
      </c>
      <c r="O5" s="26">
        <f>IF(COUNTA(C5:N5),IF(LEFT(E$4,1)="C",ZenithAngle(M5,N5,D5,$I$4),L5),"---")</f>
        <v>29</v>
      </c>
      <c r="P5" s="26">
        <f t="shared" ref="P5:P67" si="1">IF(O5="---","---",IF(LEFT(E$5,1)="C",beamfraction(O5,F5),K5))</f>
        <v>0.87</v>
      </c>
      <c r="Q5" s="26">
        <f t="shared" ref="Q5:Q68" si="2">IF(O5="---","---",SQRT(J5^2+(TAN(RADIANS(O5)))^2)/(J5+1.744*(J5+1.182)^(-0.733)))</f>
        <v>0.75563260596079207</v>
      </c>
      <c r="R5" s="26">
        <f t="shared" ref="R5:R68" si="3">IF(O5="---","---",G5/F5)</f>
        <v>0.36450294310006542</v>
      </c>
      <c r="S5" s="27">
        <f t="shared" ref="S5:S68" si="4">IF(O5="---","---",((1-1/(2*Q5))*P5-1)*LN(R5)/(0.86*(1-0.47*P5)))</f>
        <v>1.4009815885099144</v>
      </c>
      <c r="T5" s="2">
        <f t="shared" ref="T5:T68" si="5">(1-(G5/F5))</f>
        <v>0.63549705689993452</v>
      </c>
      <c r="U5" s="2">
        <f t="shared" ref="U5:U68" si="6">G5/F5*100</f>
        <v>36.450294310006541</v>
      </c>
      <c r="V5" s="2">
        <f t="shared" si="0"/>
        <v>37.085791366906477</v>
      </c>
      <c r="W5" s="2">
        <v>0</v>
      </c>
      <c r="X5" s="2">
        <v>0</v>
      </c>
      <c r="Y5" s="2">
        <v>0</v>
      </c>
      <c r="Z5">
        <f t="shared" ref="Z5:Z68" si="7">AVERAGE(T5,W5:Y5)</f>
        <v>0.15887426422498363</v>
      </c>
    </row>
    <row r="6" spans="1:26">
      <c r="A6" s="2" t="s">
        <v>5</v>
      </c>
      <c r="B6" s="2" t="s">
        <v>6</v>
      </c>
      <c r="C6" s="15" t="s">
        <v>32</v>
      </c>
      <c r="D6" s="16" t="s">
        <v>54</v>
      </c>
      <c r="E6" s="15"/>
      <c r="F6" s="17">
        <v>809.4</v>
      </c>
      <c r="G6" s="17">
        <v>362.57499999999999</v>
      </c>
      <c r="H6" s="18">
        <v>0.33500000000000002</v>
      </c>
      <c r="I6" s="19">
        <v>1.91</v>
      </c>
      <c r="J6" s="19">
        <v>2</v>
      </c>
      <c r="K6" s="19">
        <v>0.87</v>
      </c>
      <c r="L6" s="20">
        <v>29</v>
      </c>
      <c r="M6" s="28">
        <v>44.544320999999997</v>
      </c>
      <c r="N6" s="28">
        <v>11.382828</v>
      </c>
      <c r="O6" s="26">
        <f>IF(COUNTA(C6:N6),IF(LEFT(E$4,1)="C",ZenithAngle(M6,N6,D6,$I$4),L6),"---")</f>
        <v>29</v>
      </c>
      <c r="P6" s="26">
        <f t="shared" si="1"/>
        <v>0.87</v>
      </c>
      <c r="Q6" s="26">
        <f t="shared" si="2"/>
        <v>0.75563260596079207</v>
      </c>
      <c r="R6" s="26">
        <f t="shared" si="3"/>
        <v>0.44795527551272546</v>
      </c>
      <c r="S6" s="27">
        <f t="shared" si="4"/>
        <v>1.1147957673319158</v>
      </c>
      <c r="T6" s="2">
        <f t="shared" si="5"/>
        <v>0.5520447244872746</v>
      </c>
      <c r="U6" s="2">
        <f t="shared" si="6"/>
        <v>44.795527551272549</v>
      </c>
      <c r="V6" s="2">
        <f t="shared" si="0"/>
        <v>45.347572275759823</v>
      </c>
      <c r="W6" s="2">
        <v>0</v>
      </c>
      <c r="X6" s="2">
        <v>0</v>
      </c>
      <c r="Y6" s="2">
        <v>0</v>
      </c>
      <c r="Z6">
        <f t="shared" si="7"/>
        <v>0.13801118112181865</v>
      </c>
    </row>
    <row r="7" spans="1:26">
      <c r="A7" s="2" t="s">
        <v>5</v>
      </c>
      <c r="B7" s="2" t="s">
        <v>6</v>
      </c>
      <c r="C7" s="15" t="s">
        <v>32</v>
      </c>
      <c r="D7" s="16" t="s">
        <v>55</v>
      </c>
      <c r="E7" s="15"/>
      <c r="F7" s="17">
        <v>1630.5</v>
      </c>
      <c r="G7" s="17">
        <v>322.3125</v>
      </c>
      <c r="H7" s="18">
        <v>0.33500000000000002</v>
      </c>
      <c r="I7" s="19">
        <v>1.91</v>
      </c>
      <c r="J7" s="19">
        <v>2</v>
      </c>
      <c r="K7" s="19">
        <v>0.87</v>
      </c>
      <c r="L7" s="20">
        <v>29</v>
      </c>
      <c r="M7" s="28">
        <v>44.544320999999997</v>
      </c>
      <c r="N7" s="28">
        <v>11.382828</v>
      </c>
      <c r="O7" s="26">
        <f>IF(COUNTA(C7:N7),IF(LEFT(E$4,1)="C",ZenithAngle(M7,N7,D7,$I$4),L7),"---")</f>
        <v>29</v>
      </c>
      <c r="P7" s="26">
        <f t="shared" si="1"/>
        <v>0.87</v>
      </c>
      <c r="Q7" s="26">
        <f t="shared" si="2"/>
        <v>0.75563260596079207</v>
      </c>
      <c r="R7" s="26">
        <f t="shared" si="3"/>
        <v>0.19767709291628335</v>
      </c>
      <c r="S7" s="27">
        <f t="shared" si="4"/>
        <v>2.2504096192698571</v>
      </c>
      <c r="T7" s="2">
        <f t="shared" si="5"/>
        <v>0.80232290708371667</v>
      </c>
      <c r="U7" s="2">
        <f t="shared" si="6"/>
        <v>19.767709291628336</v>
      </c>
      <c r="V7" s="2">
        <f t="shared" si="0"/>
        <v>20.570032198712052</v>
      </c>
      <c r="W7" s="2">
        <v>0</v>
      </c>
      <c r="X7" s="2">
        <v>0</v>
      </c>
      <c r="Y7" s="2">
        <v>0</v>
      </c>
      <c r="Z7">
        <f t="shared" si="7"/>
        <v>0.20058072677092917</v>
      </c>
    </row>
    <row r="8" spans="1:26">
      <c r="A8" s="2" t="s">
        <v>5</v>
      </c>
      <c r="B8" s="2" t="s">
        <v>6</v>
      </c>
      <c r="C8" s="15" t="s">
        <v>32</v>
      </c>
      <c r="D8" s="16" t="s">
        <v>56</v>
      </c>
      <c r="E8" s="15"/>
      <c r="F8" s="17">
        <v>1511.2</v>
      </c>
      <c r="G8" s="17">
        <v>422.59999999999997</v>
      </c>
      <c r="H8" s="18">
        <v>0.33500000000000002</v>
      </c>
      <c r="I8" s="19">
        <v>1.91</v>
      </c>
      <c r="J8" s="19">
        <v>2</v>
      </c>
      <c r="K8" s="19">
        <v>0.87</v>
      </c>
      <c r="L8" s="20">
        <v>29</v>
      </c>
      <c r="M8" s="28">
        <v>44.544320999999997</v>
      </c>
      <c r="N8" s="28">
        <v>11.382828</v>
      </c>
      <c r="O8" s="26">
        <f>IF(COUNTA(C8:N8),IF(LEFT(E$4,1)="C",ZenithAngle(M8,N8,D8,$I$4),L8),"---")</f>
        <v>29</v>
      </c>
      <c r="P8" s="26">
        <f t="shared" si="1"/>
        <v>0.87</v>
      </c>
      <c r="Q8" s="26">
        <f t="shared" si="2"/>
        <v>0.75563260596079207</v>
      </c>
      <c r="R8" s="26">
        <f t="shared" si="3"/>
        <v>0.27964531498147166</v>
      </c>
      <c r="S8" s="27">
        <f t="shared" si="4"/>
        <v>1.7688671574399191</v>
      </c>
      <c r="T8" s="2">
        <f t="shared" si="5"/>
        <v>0.72035468501852828</v>
      </c>
      <c r="U8" s="2">
        <f t="shared" si="6"/>
        <v>27.964531498147167</v>
      </c>
      <c r="V8" s="2">
        <f t="shared" si="0"/>
        <v>28.684886183165695</v>
      </c>
      <c r="W8" s="2">
        <v>0</v>
      </c>
      <c r="X8" s="2">
        <v>0</v>
      </c>
      <c r="Y8" s="2">
        <v>0</v>
      </c>
      <c r="Z8">
        <f t="shared" si="7"/>
        <v>0.18008867125463207</v>
      </c>
    </row>
    <row r="9" spans="1:26">
      <c r="A9" s="2" t="s">
        <v>5</v>
      </c>
      <c r="B9" s="2" t="s">
        <v>6</v>
      </c>
      <c r="C9" s="15" t="s">
        <v>32</v>
      </c>
      <c r="D9" s="16" t="s">
        <v>57</v>
      </c>
      <c r="E9" s="15"/>
      <c r="F9" s="17">
        <v>1644.3</v>
      </c>
      <c r="G9" s="17">
        <v>362.03750000000002</v>
      </c>
      <c r="H9" s="18">
        <v>0.33500000000000002</v>
      </c>
      <c r="I9" s="19">
        <v>1.91</v>
      </c>
      <c r="J9" s="19">
        <v>2</v>
      </c>
      <c r="K9" s="19">
        <v>0.87</v>
      </c>
      <c r="L9" s="20">
        <v>29</v>
      </c>
      <c r="M9" s="28">
        <v>44.544320999999997</v>
      </c>
      <c r="N9" s="28">
        <v>11.382828</v>
      </c>
      <c r="O9" s="26">
        <f>IF(COUNTA(C9:N9),IF(LEFT(E$4,1)="C",ZenithAngle(M9,N9,D9,$I$4),L9),"---")</f>
        <v>29</v>
      </c>
      <c r="P9" s="26">
        <f t="shared" si="1"/>
        <v>0.87</v>
      </c>
      <c r="Q9" s="26">
        <f t="shared" si="2"/>
        <v>0.75563260596079207</v>
      </c>
      <c r="R9" s="26">
        <f t="shared" si="3"/>
        <v>0.22017727908532508</v>
      </c>
      <c r="S9" s="27">
        <f t="shared" si="4"/>
        <v>2.1007661637776764</v>
      </c>
      <c r="T9" s="2">
        <f t="shared" si="5"/>
        <v>0.77982272091467486</v>
      </c>
      <c r="U9" s="2">
        <f t="shared" si="6"/>
        <v>22.017727908532507</v>
      </c>
      <c r="V9" s="2">
        <f t="shared" si="0"/>
        <v>22.79755062944718</v>
      </c>
      <c r="W9" s="2">
        <v>0</v>
      </c>
      <c r="X9" s="2">
        <v>0</v>
      </c>
      <c r="Y9" s="2">
        <v>0</v>
      </c>
      <c r="Z9">
        <f t="shared" si="7"/>
        <v>0.19495568022866872</v>
      </c>
    </row>
    <row r="10" spans="1:26">
      <c r="A10" s="2" t="s">
        <v>5</v>
      </c>
      <c r="B10" s="2" t="s">
        <v>6</v>
      </c>
      <c r="C10" s="15" t="s">
        <v>32</v>
      </c>
      <c r="D10" s="16" t="s">
        <v>58</v>
      </c>
      <c r="E10" s="15"/>
      <c r="F10" s="17">
        <v>1572.6</v>
      </c>
      <c r="G10" s="17">
        <v>485.79999999999995</v>
      </c>
      <c r="H10" s="18">
        <v>0.33500000000000002</v>
      </c>
      <c r="I10" s="19">
        <v>1.91</v>
      </c>
      <c r="J10" s="19">
        <v>2</v>
      </c>
      <c r="K10" s="19">
        <v>0.87</v>
      </c>
      <c r="L10" s="20">
        <v>29</v>
      </c>
      <c r="M10" s="28">
        <v>44.544320999999997</v>
      </c>
      <c r="N10" s="28">
        <v>11.382828</v>
      </c>
      <c r="O10" s="26">
        <f>IF(COUNTA(C10:N10),IF(LEFT(E$4,1)="C",ZenithAngle(M10,N10,D10,$I$4),L10),"---")</f>
        <v>29</v>
      </c>
      <c r="P10" s="26">
        <f t="shared" si="1"/>
        <v>0.87</v>
      </c>
      <c r="Q10" s="26">
        <f t="shared" si="2"/>
        <v>0.75563260596079207</v>
      </c>
      <c r="R10" s="26">
        <f t="shared" si="3"/>
        <v>0.30891517232608418</v>
      </c>
      <c r="S10" s="27">
        <f t="shared" si="4"/>
        <v>1.630681104012937</v>
      </c>
      <c r="T10" s="2">
        <f t="shared" si="5"/>
        <v>0.69108482767391588</v>
      </c>
      <c r="U10" s="2">
        <f t="shared" si="6"/>
        <v>30.891517232608418</v>
      </c>
      <c r="V10" s="2">
        <f t="shared" si="0"/>
        <v>31.582602060282333</v>
      </c>
      <c r="W10" s="2">
        <v>0</v>
      </c>
      <c r="X10" s="2">
        <v>0</v>
      </c>
      <c r="Y10" s="2">
        <v>0</v>
      </c>
      <c r="Z10">
        <f t="shared" si="7"/>
        <v>0.17277120691847897</v>
      </c>
    </row>
    <row r="11" spans="1:26">
      <c r="A11" s="2" t="s">
        <v>5</v>
      </c>
      <c r="B11" s="2" t="s">
        <v>6</v>
      </c>
      <c r="C11" s="15" t="s">
        <v>32</v>
      </c>
      <c r="D11" s="16" t="s">
        <v>59</v>
      </c>
      <c r="E11" s="15"/>
      <c r="F11" s="17">
        <v>1684.4</v>
      </c>
      <c r="G11" s="17">
        <v>357.98750000000001</v>
      </c>
      <c r="H11" s="18">
        <v>0.33500000000000002</v>
      </c>
      <c r="I11" s="19">
        <v>1.91</v>
      </c>
      <c r="J11" s="19">
        <v>2</v>
      </c>
      <c r="K11" s="19">
        <v>0.87</v>
      </c>
      <c r="L11" s="20">
        <v>29</v>
      </c>
      <c r="M11" s="28">
        <v>44.544320999999997</v>
      </c>
      <c r="N11" s="28">
        <v>11.382828</v>
      </c>
      <c r="O11" s="26">
        <f>IF(COUNTA(C11:N11),IF(LEFT(E$4,1)="C",ZenithAngle(M11,N11,D11,$I$4),L11),"---")</f>
        <v>29</v>
      </c>
      <c r="P11" s="26">
        <f t="shared" si="1"/>
        <v>0.87</v>
      </c>
      <c r="Q11" s="26">
        <f t="shared" si="2"/>
        <v>0.75563260596079207</v>
      </c>
      <c r="R11" s="26">
        <f t="shared" si="3"/>
        <v>0.21253116836855854</v>
      </c>
      <c r="S11" s="27">
        <f t="shared" si="4"/>
        <v>2.1498305884113962</v>
      </c>
      <c r="T11" s="2">
        <f t="shared" si="5"/>
        <v>0.78746883163144143</v>
      </c>
      <c r="U11" s="2">
        <f t="shared" si="6"/>
        <v>21.253116836855853</v>
      </c>
      <c r="V11" s="2">
        <f t="shared" si="0"/>
        <v>22.040585668487292</v>
      </c>
      <c r="W11" s="2">
        <v>0</v>
      </c>
      <c r="X11" s="2">
        <v>0</v>
      </c>
      <c r="Y11" s="2">
        <v>0</v>
      </c>
      <c r="Z11">
        <f t="shared" si="7"/>
        <v>0.19686720790786036</v>
      </c>
    </row>
    <row r="12" spans="1:26">
      <c r="A12" s="2" t="s">
        <v>5</v>
      </c>
      <c r="B12" s="2" t="s">
        <v>6</v>
      </c>
      <c r="C12" s="15" t="s">
        <v>32</v>
      </c>
      <c r="D12" s="16" t="s">
        <v>60</v>
      </c>
      <c r="E12" s="15"/>
      <c r="F12" s="17">
        <v>1571.2</v>
      </c>
      <c r="G12" s="17">
        <v>796.23750000000007</v>
      </c>
      <c r="H12" s="18">
        <v>0.33500000000000002</v>
      </c>
      <c r="I12" s="19">
        <v>1.91</v>
      </c>
      <c r="J12" s="19">
        <v>2</v>
      </c>
      <c r="K12" s="19">
        <v>0.87</v>
      </c>
      <c r="L12" s="20">
        <v>29</v>
      </c>
      <c r="M12" s="28">
        <v>44.544320999999997</v>
      </c>
      <c r="N12" s="28">
        <v>11.382828</v>
      </c>
      <c r="O12" s="26">
        <f>IF(COUNTA(C12:N12),IF(LEFT(E$4,1)="C",ZenithAngle(M12,N12,D12,$I$4),L12),"---")</f>
        <v>29</v>
      </c>
      <c r="P12" s="26">
        <f t="shared" si="1"/>
        <v>0.87</v>
      </c>
      <c r="Q12" s="26">
        <f t="shared" si="2"/>
        <v>0.75563260596079207</v>
      </c>
      <c r="R12" s="26">
        <f t="shared" si="3"/>
        <v>0.50677030295315684</v>
      </c>
      <c r="S12" s="27">
        <f t="shared" si="4"/>
        <v>0.94354349699940965</v>
      </c>
      <c r="T12" s="2">
        <f t="shared" si="5"/>
        <v>0.49322969704684316</v>
      </c>
      <c r="U12" s="2">
        <f t="shared" si="6"/>
        <v>50.677030295315681</v>
      </c>
      <c r="V12" s="2">
        <f t="shared" si="0"/>
        <v>51.170259992362524</v>
      </c>
      <c r="W12" s="2">
        <v>0</v>
      </c>
      <c r="X12" s="2">
        <v>0</v>
      </c>
      <c r="Y12" s="2">
        <v>0</v>
      </c>
      <c r="Z12">
        <f t="shared" si="7"/>
        <v>0.12330742426171079</v>
      </c>
    </row>
    <row r="13" spans="1:26">
      <c r="A13" s="2" t="s">
        <v>5</v>
      </c>
      <c r="B13" s="2" t="s">
        <v>6</v>
      </c>
      <c r="C13" s="15" t="s">
        <v>32</v>
      </c>
      <c r="D13" s="16" t="s">
        <v>61</v>
      </c>
      <c r="E13" s="15"/>
      <c r="F13" s="17">
        <v>1565.2</v>
      </c>
      <c r="G13" s="17">
        <v>350.97500000000002</v>
      </c>
      <c r="H13" s="18">
        <v>0.33500000000000002</v>
      </c>
      <c r="I13" s="19">
        <v>1.91</v>
      </c>
      <c r="J13" s="19">
        <v>2</v>
      </c>
      <c r="K13" s="19">
        <v>0.87</v>
      </c>
      <c r="L13" s="20">
        <v>29</v>
      </c>
      <c r="M13" s="28">
        <v>44.544320999999997</v>
      </c>
      <c r="N13" s="28">
        <v>11.382828</v>
      </c>
      <c r="O13" s="26">
        <f>IF(COUNTA(C13:N13),IF(LEFT(E$4,1)="C",ZenithAngle(M13,N13,D13,$I$4),L13),"---")</f>
        <v>29</v>
      </c>
      <c r="P13" s="26">
        <f t="shared" si="1"/>
        <v>0.87</v>
      </c>
      <c r="Q13" s="26">
        <f t="shared" si="2"/>
        <v>0.75563260596079207</v>
      </c>
      <c r="R13" s="26">
        <f t="shared" si="3"/>
        <v>0.22423651929465885</v>
      </c>
      <c r="S13" s="27">
        <f t="shared" si="4"/>
        <v>2.075406377501896</v>
      </c>
      <c r="T13" s="2">
        <f t="shared" si="5"/>
        <v>0.77576348070534118</v>
      </c>
      <c r="U13" s="2">
        <f t="shared" si="6"/>
        <v>22.423651929465883</v>
      </c>
      <c r="V13" s="2">
        <f t="shared" si="0"/>
        <v>23.199415410171223</v>
      </c>
      <c r="W13" s="2">
        <v>0</v>
      </c>
      <c r="X13" s="2">
        <v>0</v>
      </c>
      <c r="Y13" s="2">
        <v>0</v>
      </c>
      <c r="Z13">
        <f t="shared" si="7"/>
        <v>0.19394087017633529</v>
      </c>
    </row>
    <row r="14" spans="1:26">
      <c r="A14" s="2" t="s">
        <v>5</v>
      </c>
      <c r="B14" s="2" t="s">
        <v>6</v>
      </c>
      <c r="C14" s="15" t="s">
        <v>32</v>
      </c>
      <c r="D14" s="16" t="s">
        <v>62</v>
      </c>
      <c r="E14" s="15"/>
      <c r="F14" s="17">
        <v>1729.4</v>
      </c>
      <c r="G14" s="17">
        <v>275.5</v>
      </c>
      <c r="H14" s="18">
        <v>0.33500000000000002</v>
      </c>
      <c r="I14" s="19">
        <v>1.91</v>
      </c>
      <c r="J14" s="19">
        <v>2</v>
      </c>
      <c r="K14" s="19">
        <v>0.87</v>
      </c>
      <c r="L14" s="20">
        <v>29</v>
      </c>
      <c r="M14" s="28">
        <v>44.544320999999997</v>
      </c>
      <c r="N14" s="28">
        <v>11.382828</v>
      </c>
      <c r="O14" s="26">
        <f>IF(COUNTA(C14:N14),IF(LEFT(E$4,1)="C",ZenithAngle(M14,N14,D14,$I$4),L14),"---")</f>
        <v>29</v>
      </c>
      <c r="P14" s="26">
        <f t="shared" si="1"/>
        <v>0.87</v>
      </c>
      <c r="Q14" s="26">
        <f t="shared" si="2"/>
        <v>0.75563260596079207</v>
      </c>
      <c r="R14" s="26">
        <f t="shared" si="3"/>
        <v>0.15930380478778766</v>
      </c>
      <c r="S14" s="27">
        <f t="shared" si="4"/>
        <v>2.5500094178983472</v>
      </c>
      <c r="T14" s="2">
        <f t="shared" si="5"/>
        <v>0.84069619521221228</v>
      </c>
      <c r="U14" s="2">
        <f t="shared" si="6"/>
        <v>15.930380478778766</v>
      </c>
      <c r="V14" s="2">
        <f t="shared" si="0"/>
        <v>16.771076673990979</v>
      </c>
      <c r="W14" s="2">
        <v>0</v>
      </c>
      <c r="X14" s="2">
        <v>0</v>
      </c>
      <c r="Y14" s="2">
        <v>0</v>
      </c>
      <c r="Z14">
        <f t="shared" si="7"/>
        <v>0.21017404880305307</v>
      </c>
    </row>
    <row r="15" spans="1:26">
      <c r="A15" s="2" t="s">
        <v>5</v>
      </c>
      <c r="B15" s="2" t="s">
        <v>7</v>
      </c>
      <c r="C15" s="15" t="s">
        <v>32</v>
      </c>
      <c r="D15" s="16" t="s">
        <v>63</v>
      </c>
      <c r="E15" s="15"/>
      <c r="F15" s="17">
        <v>1711.6</v>
      </c>
      <c r="G15" s="17">
        <v>334.46249999999998</v>
      </c>
      <c r="H15" s="18">
        <v>0.20899999999999999</v>
      </c>
      <c r="I15" s="19">
        <v>2.62</v>
      </c>
      <c r="J15" s="19">
        <v>2</v>
      </c>
      <c r="K15" s="19">
        <v>0.81</v>
      </c>
      <c r="L15" s="20">
        <v>29</v>
      </c>
      <c r="M15" s="28">
        <v>44.544320999999997</v>
      </c>
      <c r="N15" s="28">
        <v>11.382828</v>
      </c>
      <c r="O15" s="26">
        <f>IF(COUNTA(C15:N15),IF(LEFT(E$4,1)="C",ZenithAngle(M15,N15,D15,$I$4),L15),"---")</f>
        <v>29</v>
      </c>
      <c r="P15" s="26">
        <f t="shared" si="1"/>
        <v>0.81</v>
      </c>
      <c r="Q15" s="26">
        <f t="shared" si="2"/>
        <v>0.75563260596079207</v>
      </c>
      <c r="R15" s="26">
        <f t="shared" si="3"/>
        <v>0.19540926618368779</v>
      </c>
      <c r="S15" s="27">
        <f t="shared" si="4"/>
        <v>2.2254482780498921</v>
      </c>
      <c r="T15" s="2">
        <f t="shared" si="5"/>
        <v>0.80459073381631219</v>
      </c>
      <c r="U15" s="2">
        <f t="shared" si="6"/>
        <v>19.540926618368779</v>
      </c>
      <c r="V15" s="2">
        <f t="shared" si="0"/>
        <v>20.345517352185091</v>
      </c>
      <c r="W15" s="2">
        <v>0</v>
      </c>
      <c r="X15" s="2">
        <v>0</v>
      </c>
      <c r="Y15" s="2">
        <v>0</v>
      </c>
      <c r="Z15">
        <f t="shared" si="7"/>
        <v>0.20114768345407805</v>
      </c>
    </row>
    <row r="16" spans="1:26">
      <c r="A16" s="2" t="s">
        <v>5</v>
      </c>
      <c r="B16" s="2" t="s">
        <v>7</v>
      </c>
      <c r="C16" s="15" t="s">
        <v>32</v>
      </c>
      <c r="D16" s="16" t="s">
        <v>64</v>
      </c>
      <c r="E16" s="15"/>
      <c r="F16" s="17">
        <v>1665.7</v>
      </c>
      <c r="G16" s="17">
        <v>117.425</v>
      </c>
      <c r="H16" s="18">
        <v>0.20899999999999999</v>
      </c>
      <c r="I16" s="19">
        <v>2.62</v>
      </c>
      <c r="J16" s="19">
        <v>2</v>
      </c>
      <c r="K16" s="19">
        <v>0.81</v>
      </c>
      <c r="L16" s="20">
        <v>29</v>
      </c>
      <c r="M16" s="28">
        <v>44.544320999999997</v>
      </c>
      <c r="N16" s="28">
        <v>11.382828</v>
      </c>
      <c r="O16" s="26">
        <f>IF(COUNTA(C16:N16),IF(LEFT(E$4,1)="C",ZenithAngle(M16,N16,D16,$I$4),L16),"---")</f>
        <v>29</v>
      </c>
      <c r="P16" s="26">
        <f t="shared" si="1"/>
        <v>0.81</v>
      </c>
      <c r="Q16" s="26">
        <f t="shared" si="2"/>
        <v>0.75563260596079207</v>
      </c>
      <c r="R16" s="26">
        <f t="shared" si="3"/>
        <v>7.0495887614816594E-2</v>
      </c>
      <c r="S16" s="27">
        <f t="shared" si="4"/>
        <v>3.6151673447349641</v>
      </c>
      <c r="T16" s="2">
        <f t="shared" si="5"/>
        <v>0.92950411238518338</v>
      </c>
      <c r="U16" s="2">
        <f t="shared" si="6"/>
        <v>7.049588761481659</v>
      </c>
      <c r="V16" s="2">
        <f t="shared" si="0"/>
        <v>7.9790928738668425</v>
      </c>
      <c r="W16" s="2">
        <v>0</v>
      </c>
      <c r="X16" s="2">
        <v>0</v>
      </c>
      <c r="Y16" s="2">
        <v>0</v>
      </c>
      <c r="Z16">
        <f t="shared" si="7"/>
        <v>0.23237602809629584</v>
      </c>
    </row>
    <row r="17" spans="1:26">
      <c r="A17" s="2" t="s">
        <v>5</v>
      </c>
      <c r="B17" s="2" t="s">
        <v>7</v>
      </c>
      <c r="C17" s="15" t="s">
        <v>32</v>
      </c>
      <c r="D17" s="16" t="s">
        <v>65</v>
      </c>
      <c r="E17" s="15"/>
      <c r="F17" s="17">
        <v>1570.7</v>
      </c>
      <c r="G17" s="17">
        <v>359.05000000000007</v>
      </c>
      <c r="H17" s="18">
        <v>0.20899999999999999</v>
      </c>
      <c r="I17" s="19">
        <v>2.62</v>
      </c>
      <c r="J17" s="19">
        <v>2</v>
      </c>
      <c r="K17" s="19">
        <v>0.81</v>
      </c>
      <c r="L17" s="20">
        <v>29</v>
      </c>
      <c r="M17" s="28">
        <v>44.544320999999997</v>
      </c>
      <c r="N17" s="28">
        <v>11.382828</v>
      </c>
      <c r="O17" s="26">
        <f>IF(COUNTA(C17:N17),IF(LEFT(E$4,1)="C",ZenithAngle(M17,N17,D17,$I$4),L17),"---")</f>
        <v>29</v>
      </c>
      <c r="P17" s="26">
        <f t="shared" si="1"/>
        <v>0.81</v>
      </c>
      <c r="Q17" s="26">
        <f t="shared" si="2"/>
        <v>0.75563260596079207</v>
      </c>
      <c r="R17" s="26">
        <f t="shared" si="3"/>
        <v>0.22859234736104925</v>
      </c>
      <c r="S17" s="27">
        <f t="shared" si="4"/>
        <v>2.0116568866328151</v>
      </c>
      <c r="T17" s="2">
        <f t="shared" si="5"/>
        <v>0.77140765263895072</v>
      </c>
      <c r="U17" s="2">
        <f t="shared" si="6"/>
        <v>22.859234736104924</v>
      </c>
      <c r="V17" s="2">
        <f t="shared" si="0"/>
        <v>23.630642388743873</v>
      </c>
      <c r="W17" s="2">
        <v>0</v>
      </c>
      <c r="X17" s="2">
        <v>0</v>
      </c>
      <c r="Y17" s="2">
        <v>0</v>
      </c>
      <c r="Z17">
        <f t="shared" si="7"/>
        <v>0.19285191315973768</v>
      </c>
    </row>
    <row r="18" spans="1:26">
      <c r="A18" s="2" t="s">
        <v>5</v>
      </c>
      <c r="B18" s="2" t="s">
        <v>7</v>
      </c>
      <c r="C18" s="15" t="s">
        <v>32</v>
      </c>
      <c r="D18" s="16" t="s">
        <v>66</v>
      </c>
      <c r="E18" s="15"/>
      <c r="F18" s="17">
        <v>1620.2</v>
      </c>
      <c r="G18" s="17">
        <v>591.28749999999991</v>
      </c>
      <c r="H18" s="18">
        <v>0.20899999999999999</v>
      </c>
      <c r="I18" s="19">
        <v>2.62</v>
      </c>
      <c r="J18" s="19">
        <v>2</v>
      </c>
      <c r="K18" s="19">
        <v>0.81</v>
      </c>
      <c r="L18" s="20">
        <v>29</v>
      </c>
      <c r="M18" s="28">
        <v>44.544320999999997</v>
      </c>
      <c r="N18" s="28">
        <v>11.382828</v>
      </c>
      <c r="O18" s="26">
        <f>IF(COUNTA(C18:N18),IF(LEFT(E$4,1)="C",ZenithAngle(M18,N18,D18,$I$4),L18),"---")</f>
        <v>29</v>
      </c>
      <c r="P18" s="26">
        <f t="shared" si="1"/>
        <v>0.81</v>
      </c>
      <c r="Q18" s="26">
        <f t="shared" si="2"/>
        <v>0.75563260596079207</v>
      </c>
      <c r="R18" s="26">
        <f t="shared" si="3"/>
        <v>0.36494722873719287</v>
      </c>
      <c r="S18" s="27">
        <f t="shared" si="4"/>
        <v>1.3739900966243093</v>
      </c>
      <c r="T18" s="2">
        <f t="shared" si="5"/>
        <v>0.63505277126280713</v>
      </c>
      <c r="U18" s="2">
        <f t="shared" si="6"/>
        <v>36.49472287371929</v>
      </c>
      <c r="V18" s="2">
        <f t="shared" si="0"/>
        <v>37.129775644982097</v>
      </c>
      <c r="W18" s="2">
        <v>0</v>
      </c>
      <c r="X18" s="2">
        <v>0</v>
      </c>
      <c r="Y18" s="2">
        <v>0</v>
      </c>
      <c r="Z18">
        <f t="shared" si="7"/>
        <v>0.15876319281570178</v>
      </c>
    </row>
    <row r="19" spans="1:26">
      <c r="A19" s="2" t="s">
        <v>5</v>
      </c>
      <c r="B19" s="2" t="s">
        <v>7</v>
      </c>
      <c r="C19" s="15" t="s">
        <v>32</v>
      </c>
      <c r="D19" s="16" t="s">
        <v>67</v>
      </c>
      <c r="E19" s="15"/>
      <c r="F19" s="17">
        <v>1503.3</v>
      </c>
      <c r="G19" s="17">
        <v>315.03750000000002</v>
      </c>
      <c r="H19" s="18">
        <v>0.20899999999999999</v>
      </c>
      <c r="I19" s="19">
        <v>2.62</v>
      </c>
      <c r="J19" s="19">
        <v>2</v>
      </c>
      <c r="K19" s="19">
        <v>0.81</v>
      </c>
      <c r="L19" s="20">
        <v>29</v>
      </c>
      <c r="M19" s="28">
        <v>44.544320999999997</v>
      </c>
      <c r="N19" s="28">
        <v>11.382828</v>
      </c>
      <c r="O19" s="26">
        <f>IF(COUNTA(C19:N19),IF(LEFT(E$4,1)="C",ZenithAngle(M19,N19,D19,$I$4),L19),"---")</f>
        <v>29</v>
      </c>
      <c r="P19" s="26">
        <f t="shared" si="1"/>
        <v>0.81</v>
      </c>
      <c r="Q19" s="26">
        <f t="shared" si="2"/>
        <v>0.75563260596079207</v>
      </c>
      <c r="R19" s="26">
        <f t="shared" si="3"/>
        <v>0.20956395928956298</v>
      </c>
      <c r="S19" s="27">
        <f t="shared" si="4"/>
        <v>2.1301240986309513</v>
      </c>
      <c r="T19" s="2">
        <f t="shared" si="5"/>
        <v>0.79043604071043705</v>
      </c>
      <c r="U19" s="2">
        <f t="shared" si="6"/>
        <v>20.956395928956297</v>
      </c>
      <c r="V19" s="2">
        <f t="shared" si="0"/>
        <v>21.746831969666733</v>
      </c>
      <c r="W19" s="2">
        <v>0</v>
      </c>
      <c r="X19" s="2">
        <v>0</v>
      </c>
      <c r="Y19" s="2">
        <v>0</v>
      </c>
      <c r="Z19">
        <f t="shared" si="7"/>
        <v>0.19760901017760926</v>
      </c>
    </row>
    <row r="20" spans="1:26">
      <c r="A20" s="2" t="s">
        <v>5</v>
      </c>
      <c r="B20" s="2" t="s">
        <v>7</v>
      </c>
      <c r="C20" s="15" t="s">
        <v>32</v>
      </c>
      <c r="D20" s="16" t="s">
        <v>68</v>
      </c>
      <c r="E20" s="15"/>
      <c r="F20" s="17">
        <v>1674</v>
      </c>
      <c r="G20" s="17">
        <v>236.26250000000005</v>
      </c>
      <c r="H20" s="18">
        <v>0.20899999999999999</v>
      </c>
      <c r="I20" s="19">
        <v>2.62</v>
      </c>
      <c r="J20" s="19">
        <v>2</v>
      </c>
      <c r="K20" s="19">
        <v>0.81</v>
      </c>
      <c r="L20" s="20">
        <v>29</v>
      </c>
      <c r="M20" s="28">
        <v>44.544320999999997</v>
      </c>
      <c r="N20" s="28">
        <v>11.382828</v>
      </c>
      <c r="O20" s="26">
        <f>IF(COUNTA(C20:N20),IF(LEFT(E$4,1)="C",ZenithAngle(M20,N20,D20,$I$4),L20),"---")</f>
        <v>29</v>
      </c>
      <c r="P20" s="26">
        <f t="shared" si="1"/>
        <v>0.81</v>
      </c>
      <c r="Q20" s="26">
        <f t="shared" si="2"/>
        <v>0.75563260596079207</v>
      </c>
      <c r="R20" s="26">
        <f t="shared" si="3"/>
        <v>0.14113649940262846</v>
      </c>
      <c r="S20" s="27">
        <f t="shared" si="4"/>
        <v>2.6689524421399575</v>
      </c>
      <c r="T20" s="2">
        <f t="shared" si="5"/>
        <v>0.85886350059737149</v>
      </c>
      <c r="U20" s="2">
        <f t="shared" si="6"/>
        <v>14.113649940262846</v>
      </c>
      <c r="V20" s="2">
        <f t="shared" si="0"/>
        <v>14.972513440860217</v>
      </c>
      <c r="W20" s="2">
        <v>0</v>
      </c>
      <c r="X20" s="2">
        <v>0</v>
      </c>
      <c r="Y20" s="2">
        <v>0</v>
      </c>
      <c r="Z20">
        <f t="shared" si="7"/>
        <v>0.21471587514934287</v>
      </c>
    </row>
    <row r="21" spans="1:26">
      <c r="A21" s="2" t="s">
        <v>5</v>
      </c>
      <c r="B21" s="2" t="s">
        <v>7</v>
      </c>
      <c r="C21" s="15" t="s">
        <v>32</v>
      </c>
      <c r="D21" s="16" t="s">
        <v>69</v>
      </c>
      <c r="E21" s="15"/>
      <c r="F21" s="17">
        <v>1730.7</v>
      </c>
      <c r="G21" s="17">
        <v>235.16250000000002</v>
      </c>
      <c r="H21" s="18">
        <v>0.20899999999999999</v>
      </c>
      <c r="I21" s="19">
        <v>2.62</v>
      </c>
      <c r="J21" s="19">
        <v>2</v>
      </c>
      <c r="K21" s="19">
        <v>0.81</v>
      </c>
      <c r="L21" s="20">
        <v>29</v>
      </c>
      <c r="M21" s="28">
        <v>44.544320999999997</v>
      </c>
      <c r="N21" s="28">
        <v>11.382828</v>
      </c>
      <c r="O21" s="26">
        <f>IF(COUNTA(C21:N21),IF(LEFT(E$4,1)="C",ZenithAngle(M21,N21,D21,$I$4),L21),"---")</f>
        <v>29</v>
      </c>
      <c r="P21" s="26">
        <f t="shared" si="1"/>
        <v>0.81</v>
      </c>
      <c r="Q21" s="26">
        <f t="shared" si="2"/>
        <v>0.75563260596079207</v>
      </c>
      <c r="R21" s="26">
        <f t="shared" si="3"/>
        <v>0.1358771017507367</v>
      </c>
      <c r="S21" s="27">
        <f t="shared" si="4"/>
        <v>2.7207177843293229</v>
      </c>
      <c r="T21" s="2">
        <f t="shared" si="5"/>
        <v>0.86412289824926325</v>
      </c>
      <c r="U21" s="2">
        <f t="shared" si="6"/>
        <v>13.587710175073669</v>
      </c>
      <c r="V21" s="2">
        <f t="shared" si="0"/>
        <v>14.451833073322932</v>
      </c>
      <c r="W21" s="2">
        <v>0</v>
      </c>
      <c r="X21" s="2">
        <v>0</v>
      </c>
      <c r="Y21" s="2">
        <v>0</v>
      </c>
      <c r="Z21">
        <f t="shared" si="7"/>
        <v>0.21603072456231581</v>
      </c>
    </row>
    <row r="22" spans="1:26">
      <c r="A22" s="2" t="s">
        <v>5</v>
      </c>
      <c r="B22" s="2" t="s">
        <v>7</v>
      </c>
      <c r="C22" s="15" t="s">
        <v>32</v>
      </c>
      <c r="D22" s="16" t="s">
        <v>70</v>
      </c>
      <c r="E22" s="15"/>
      <c r="F22" s="17">
        <v>1737.2</v>
      </c>
      <c r="G22" s="17">
        <v>568.38749999999993</v>
      </c>
      <c r="H22" s="18">
        <v>0.20899999999999999</v>
      </c>
      <c r="I22" s="19">
        <v>2.62</v>
      </c>
      <c r="J22" s="19">
        <v>2</v>
      </c>
      <c r="K22" s="19">
        <v>0.81</v>
      </c>
      <c r="L22" s="20">
        <v>29</v>
      </c>
      <c r="M22" s="28">
        <v>44.544320999999997</v>
      </c>
      <c r="N22" s="28">
        <v>11.382828</v>
      </c>
      <c r="O22" s="26">
        <f>IF(COUNTA(C22:N22),IF(LEFT(E$4,1)="C",ZenithAngle(M22,N22,D22,$I$4),L22),"---")</f>
        <v>29</v>
      </c>
      <c r="P22" s="26">
        <f t="shared" si="1"/>
        <v>0.81</v>
      </c>
      <c r="Q22" s="26">
        <f t="shared" si="2"/>
        <v>0.75563260596079207</v>
      </c>
      <c r="R22" s="26">
        <f t="shared" si="3"/>
        <v>0.32718598894773193</v>
      </c>
      <c r="S22" s="27">
        <f t="shared" si="4"/>
        <v>1.522871341287479</v>
      </c>
      <c r="T22" s="2">
        <f t="shared" si="5"/>
        <v>0.67281401105226801</v>
      </c>
      <c r="U22" s="2">
        <f t="shared" si="6"/>
        <v>32.718598894773194</v>
      </c>
      <c r="V22" s="2">
        <f t="shared" si="0"/>
        <v>33.391412905825462</v>
      </c>
      <c r="W22" s="2">
        <v>0</v>
      </c>
      <c r="X22" s="2">
        <v>0</v>
      </c>
      <c r="Y22" s="2">
        <v>0</v>
      </c>
      <c r="Z22">
        <f t="shared" si="7"/>
        <v>0.168203502763067</v>
      </c>
    </row>
    <row r="23" spans="1:26">
      <c r="A23" s="2" t="s">
        <v>5</v>
      </c>
      <c r="B23" s="2" t="s">
        <v>7</v>
      </c>
      <c r="C23" s="15" t="s">
        <v>32</v>
      </c>
      <c r="D23" s="16" t="s">
        <v>71</v>
      </c>
      <c r="E23" s="15"/>
      <c r="F23" s="17">
        <v>1651</v>
      </c>
      <c r="G23" s="17">
        <v>208.1875</v>
      </c>
      <c r="H23" s="18">
        <v>0.20899999999999999</v>
      </c>
      <c r="I23" s="19">
        <v>2.62</v>
      </c>
      <c r="J23" s="19">
        <v>2</v>
      </c>
      <c r="K23" s="19">
        <v>0.81</v>
      </c>
      <c r="L23" s="20">
        <v>29</v>
      </c>
      <c r="M23" s="28">
        <v>44.544320999999997</v>
      </c>
      <c r="N23" s="28">
        <v>11.382828</v>
      </c>
      <c r="O23" s="26">
        <f>IF(COUNTA(C23:N23),IF(LEFT(E$4,1)="C",ZenithAngle(M23,N23,D23,$I$4),L23),"---")</f>
        <v>29</v>
      </c>
      <c r="P23" s="26">
        <f t="shared" si="1"/>
        <v>0.81</v>
      </c>
      <c r="Q23" s="26">
        <f t="shared" si="2"/>
        <v>0.75563260596079207</v>
      </c>
      <c r="R23" s="26">
        <f t="shared" si="3"/>
        <v>0.12609781950333132</v>
      </c>
      <c r="S23" s="27">
        <f t="shared" si="4"/>
        <v>2.8225302817895686</v>
      </c>
      <c r="T23" s="2">
        <f t="shared" si="5"/>
        <v>0.87390218049666868</v>
      </c>
      <c r="U23" s="2">
        <f t="shared" si="6"/>
        <v>12.609781950333133</v>
      </c>
      <c r="V23" s="2">
        <f t="shared" si="0"/>
        <v>13.483684130829802</v>
      </c>
      <c r="W23" s="2">
        <v>0</v>
      </c>
      <c r="X23" s="2">
        <v>0</v>
      </c>
      <c r="Y23" s="2">
        <v>0</v>
      </c>
      <c r="Z23">
        <f t="shared" si="7"/>
        <v>0.21847554512416717</v>
      </c>
    </row>
    <row r="24" spans="1:26">
      <c r="A24" s="2" t="s">
        <v>5</v>
      </c>
      <c r="B24" s="2" t="s">
        <v>7</v>
      </c>
      <c r="C24" s="15" t="s">
        <v>32</v>
      </c>
      <c r="D24" s="16" t="s">
        <v>72</v>
      </c>
      <c r="E24" s="15"/>
      <c r="F24" s="17">
        <v>1581.5</v>
      </c>
      <c r="G24" s="17">
        <v>455.51250000000005</v>
      </c>
      <c r="H24" s="18">
        <v>0.20899999999999999</v>
      </c>
      <c r="I24" s="19">
        <v>2.62</v>
      </c>
      <c r="J24" s="19">
        <v>2</v>
      </c>
      <c r="K24" s="19">
        <v>0.81</v>
      </c>
      <c r="L24" s="20">
        <v>29</v>
      </c>
      <c r="M24" s="28">
        <v>44.544320999999997</v>
      </c>
      <c r="N24" s="28">
        <v>11.382828</v>
      </c>
      <c r="O24" s="26">
        <f>IF(COUNTA(C24:N24),IF(LEFT(E$4,1)="C",ZenithAngle(M24,N24,D24,$I$4),L24),"---")</f>
        <v>29</v>
      </c>
      <c r="P24" s="26">
        <f t="shared" si="1"/>
        <v>0.81</v>
      </c>
      <c r="Q24" s="26">
        <f t="shared" si="2"/>
        <v>0.75563260596079207</v>
      </c>
      <c r="R24" s="26">
        <f t="shared" si="3"/>
        <v>0.28802560859943094</v>
      </c>
      <c r="S24" s="27">
        <f t="shared" si="4"/>
        <v>1.6966362018280812</v>
      </c>
      <c r="T24" s="2">
        <f t="shared" si="5"/>
        <v>0.71197439140056906</v>
      </c>
      <c r="U24" s="2">
        <f t="shared" si="6"/>
        <v>28.802560859943092</v>
      </c>
      <c r="V24" s="2">
        <f t="shared" si="0"/>
        <v>29.514535251343663</v>
      </c>
      <c r="W24" s="2">
        <v>0</v>
      </c>
      <c r="X24" s="2">
        <v>0</v>
      </c>
      <c r="Y24" s="2">
        <v>0</v>
      </c>
      <c r="Z24">
        <f t="shared" si="7"/>
        <v>0.17799359785014227</v>
      </c>
    </row>
    <row r="25" spans="1:26">
      <c r="A25" s="2" t="s">
        <v>5</v>
      </c>
      <c r="B25" s="2" t="s">
        <v>7</v>
      </c>
      <c r="C25" s="15" t="s">
        <v>32</v>
      </c>
      <c r="D25" s="16" t="s">
        <v>73</v>
      </c>
      <c r="E25" s="15"/>
      <c r="F25" s="17">
        <v>1563.2</v>
      </c>
      <c r="G25" s="17">
        <v>334.3624999999999</v>
      </c>
      <c r="H25" s="18">
        <v>0.20899999999999999</v>
      </c>
      <c r="I25" s="19">
        <v>2.62</v>
      </c>
      <c r="J25" s="19">
        <v>2</v>
      </c>
      <c r="K25" s="19">
        <v>0.81</v>
      </c>
      <c r="L25" s="20">
        <v>29</v>
      </c>
      <c r="M25" s="28">
        <v>44.544320999999997</v>
      </c>
      <c r="N25" s="28">
        <v>11.382828</v>
      </c>
      <c r="O25" s="26">
        <f>IF(COUNTA(C25:N25),IF(LEFT(E$4,1)="C",ZenithAngle(M25,N25,D25,$I$4),L25),"---")</f>
        <v>29</v>
      </c>
      <c r="P25" s="26">
        <f t="shared" si="1"/>
        <v>0.81</v>
      </c>
      <c r="Q25" s="26">
        <f t="shared" si="2"/>
        <v>0.75563260596079207</v>
      </c>
      <c r="R25" s="26">
        <f t="shared" si="3"/>
        <v>0.21389617451381773</v>
      </c>
      <c r="S25" s="27">
        <f t="shared" si="4"/>
        <v>2.1022330637601514</v>
      </c>
      <c r="T25" s="2">
        <f t="shared" si="5"/>
        <v>0.78610382548618229</v>
      </c>
      <c r="U25" s="2">
        <f t="shared" si="6"/>
        <v>21.389617451381774</v>
      </c>
      <c r="V25" s="2">
        <f t="shared" si="0"/>
        <v>22.175721276867957</v>
      </c>
      <c r="W25" s="2">
        <v>0</v>
      </c>
      <c r="X25" s="2">
        <v>0</v>
      </c>
      <c r="Y25" s="2">
        <v>0</v>
      </c>
      <c r="Z25">
        <f t="shared" si="7"/>
        <v>0.19652595637154557</v>
      </c>
    </row>
    <row r="26" spans="1:26">
      <c r="A26" s="2" t="s">
        <v>5</v>
      </c>
      <c r="B26" s="2" t="s">
        <v>8</v>
      </c>
      <c r="C26" s="15" t="s">
        <v>32</v>
      </c>
      <c r="D26" s="16" t="s">
        <v>74</v>
      </c>
      <c r="E26" s="15"/>
      <c r="F26" s="17">
        <v>1650.2</v>
      </c>
      <c r="G26" s="17">
        <v>816.17499999999995</v>
      </c>
      <c r="H26" s="18">
        <v>0.60299999999999998</v>
      </c>
      <c r="I26" s="19">
        <v>0.9</v>
      </c>
      <c r="J26" s="19">
        <v>2</v>
      </c>
      <c r="K26" s="19">
        <v>0.79</v>
      </c>
      <c r="L26" s="20">
        <v>29</v>
      </c>
      <c r="M26" s="28">
        <v>44.544320999999997</v>
      </c>
      <c r="N26" s="28">
        <v>11.382828</v>
      </c>
      <c r="O26" s="26">
        <f>IF(COUNTA(C26:N26),IF(LEFT(E$4,1)="C",ZenithAngle(M26,N26,D26,$I$4),L26),"---")</f>
        <v>29</v>
      </c>
      <c r="P26" s="26">
        <f t="shared" si="1"/>
        <v>0.79</v>
      </c>
      <c r="Q26" s="26">
        <f t="shared" si="2"/>
        <v>0.75563260596079207</v>
      </c>
      <c r="R26" s="26">
        <f t="shared" si="3"/>
        <v>0.4945915646588292</v>
      </c>
      <c r="S26" s="27">
        <f t="shared" si="4"/>
        <v>0.95410309083884381</v>
      </c>
      <c r="T26" s="2">
        <f t="shared" si="5"/>
        <v>0.50540843534117075</v>
      </c>
      <c r="U26" s="2">
        <f t="shared" si="6"/>
        <v>49.45915646588292</v>
      </c>
      <c r="V26" s="2">
        <f t="shared" si="0"/>
        <v>49.964564901224094</v>
      </c>
      <c r="W26" s="2">
        <v>0</v>
      </c>
      <c r="X26" s="2">
        <v>0</v>
      </c>
      <c r="Y26" s="2">
        <v>0</v>
      </c>
      <c r="Z26">
        <f t="shared" si="7"/>
        <v>0.12635210883529269</v>
      </c>
    </row>
    <row r="27" spans="1:26">
      <c r="A27" s="2" t="s">
        <v>5</v>
      </c>
      <c r="B27" s="2" t="s">
        <v>8</v>
      </c>
      <c r="C27" s="15" t="s">
        <v>32</v>
      </c>
      <c r="D27" s="16" t="s">
        <v>75</v>
      </c>
      <c r="E27" s="15"/>
      <c r="F27" s="17">
        <v>1125</v>
      </c>
      <c r="G27" s="17">
        <v>666.80000000000007</v>
      </c>
      <c r="H27" s="18">
        <v>0.60299999999999998</v>
      </c>
      <c r="I27" s="19">
        <v>0.9</v>
      </c>
      <c r="J27" s="19">
        <v>2</v>
      </c>
      <c r="K27" s="19">
        <v>0.79</v>
      </c>
      <c r="L27" s="20">
        <v>29</v>
      </c>
      <c r="M27" s="28">
        <v>44.544320999999997</v>
      </c>
      <c r="N27" s="28">
        <v>11.382828</v>
      </c>
      <c r="O27" s="26">
        <f>IF(COUNTA(C27:N27),IF(LEFT(E$4,1)="C",ZenithAngle(M27,N27,D27,$I$4),L27),"---")</f>
        <v>29</v>
      </c>
      <c r="P27" s="26">
        <f t="shared" si="1"/>
        <v>0.79</v>
      </c>
      <c r="Q27" s="26">
        <f t="shared" si="2"/>
        <v>0.75563260596079207</v>
      </c>
      <c r="R27" s="26">
        <f t="shared" si="3"/>
        <v>0.59271111111111119</v>
      </c>
      <c r="S27" s="27">
        <f t="shared" si="4"/>
        <v>0.70884315519318897</v>
      </c>
      <c r="T27" s="2">
        <f t="shared" si="5"/>
        <v>0.40728888888888881</v>
      </c>
      <c r="U27" s="2">
        <f t="shared" si="6"/>
        <v>59.271111111111118</v>
      </c>
      <c r="V27" s="2">
        <f t="shared" si="0"/>
        <v>59.678400000000003</v>
      </c>
      <c r="W27" s="2">
        <v>0</v>
      </c>
      <c r="X27" s="2">
        <v>0</v>
      </c>
      <c r="Y27" s="2">
        <v>0</v>
      </c>
      <c r="Z27">
        <f t="shared" si="7"/>
        <v>0.1018222222222222</v>
      </c>
    </row>
    <row r="28" spans="1:26">
      <c r="A28" s="2" t="s">
        <v>5</v>
      </c>
      <c r="B28" s="2" t="s">
        <v>8</v>
      </c>
      <c r="C28" s="15" t="s">
        <v>32</v>
      </c>
      <c r="D28" s="16" t="s">
        <v>76</v>
      </c>
      <c r="E28" s="15"/>
      <c r="F28" s="17">
        <v>1466</v>
      </c>
      <c r="G28" s="17">
        <v>645.67500000000007</v>
      </c>
      <c r="H28" s="18">
        <v>0.60299999999999998</v>
      </c>
      <c r="I28" s="19">
        <v>0.9</v>
      </c>
      <c r="J28" s="19">
        <v>2</v>
      </c>
      <c r="K28" s="19">
        <v>0.79</v>
      </c>
      <c r="L28" s="20">
        <v>29</v>
      </c>
      <c r="M28" s="28">
        <v>44.544320999999997</v>
      </c>
      <c r="N28" s="28">
        <v>11.382828</v>
      </c>
      <c r="O28" s="26">
        <f>IF(COUNTA(C28:N28),IF(LEFT(E$4,1)="C",ZenithAngle(M28,N28,D28,$I$4),L28),"---")</f>
        <v>29</v>
      </c>
      <c r="P28" s="26">
        <f t="shared" si="1"/>
        <v>0.79</v>
      </c>
      <c r="Q28" s="26">
        <f t="shared" si="2"/>
        <v>0.75563260596079207</v>
      </c>
      <c r="R28" s="26">
        <f t="shared" si="3"/>
        <v>0.44043315143246936</v>
      </c>
      <c r="S28" s="27">
        <f t="shared" si="4"/>
        <v>1.1112723805132148</v>
      </c>
      <c r="T28" s="2">
        <f t="shared" si="5"/>
        <v>0.55956684856753069</v>
      </c>
      <c r="U28" s="2">
        <f t="shared" si="6"/>
        <v>44.043315143246936</v>
      </c>
      <c r="V28" s="2">
        <f t="shared" si="0"/>
        <v>44.602881991814463</v>
      </c>
      <c r="W28" s="2">
        <v>0</v>
      </c>
      <c r="X28" s="2">
        <v>0</v>
      </c>
      <c r="Y28" s="2">
        <v>0</v>
      </c>
      <c r="Z28">
        <f t="shared" si="7"/>
        <v>0.13989171214188267</v>
      </c>
    </row>
    <row r="29" spans="1:26">
      <c r="A29" s="2" t="s">
        <v>5</v>
      </c>
      <c r="B29" s="2" t="s">
        <v>8</v>
      </c>
      <c r="C29" s="15" t="s">
        <v>32</v>
      </c>
      <c r="D29" s="16" t="s">
        <v>77</v>
      </c>
      <c r="E29" s="15"/>
      <c r="F29" s="17">
        <v>1548.5</v>
      </c>
      <c r="G29" s="17">
        <v>1038.625</v>
      </c>
      <c r="H29" s="18">
        <v>0.60299999999999998</v>
      </c>
      <c r="I29" s="19">
        <v>0.9</v>
      </c>
      <c r="J29" s="19">
        <v>2</v>
      </c>
      <c r="K29" s="19">
        <v>0.79</v>
      </c>
      <c r="L29" s="20">
        <v>29</v>
      </c>
      <c r="M29" s="28">
        <v>44.544320999999997</v>
      </c>
      <c r="N29" s="28">
        <v>11.382828</v>
      </c>
      <c r="O29" s="26">
        <f>IF(COUNTA(C29:N29),IF(LEFT(E$4,1)="C",ZenithAngle(M29,N29,D29,$I$4),L29),"---")</f>
        <v>29</v>
      </c>
      <c r="P29" s="26">
        <f t="shared" si="1"/>
        <v>0.79</v>
      </c>
      <c r="Q29" s="26">
        <f t="shared" si="2"/>
        <v>0.75563260596079207</v>
      </c>
      <c r="R29" s="26">
        <f t="shared" si="3"/>
        <v>0.67072973845657091</v>
      </c>
      <c r="S29" s="27">
        <f t="shared" si="4"/>
        <v>0.54125829455214569</v>
      </c>
      <c r="T29" s="2">
        <f t="shared" si="5"/>
        <v>0.32927026154342909</v>
      </c>
      <c r="U29" s="2">
        <f t="shared" si="6"/>
        <v>67.072973845657089</v>
      </c>
      <c r="V29" s="2">
        <f t="shared" si="0"/>
        <v>67.402244107200517</v>
      </c>
      <c r="W29" s="2">
        <v>0</v>
      </c>
      <c r="X29" s="2">
        <v>0</v>
      </c>
      <c r="Y29" s="2">
        <v>0</v>
      </c>
      <c r="Z29">
        <f t="shared" si="7"/>
        <v>8.2317565385857272E-2</v>
      </c>
    </row>
    <row r="30" spans="1:26">
      <c r="A30" s="2" t="s">
        <v>5</v>
      </c>
      <c r="B30" s="2" t="s">
        <v>8</v>
      </c>
      <c r="C30" s="15" t="s">
        <v>32</v>
      </c>
      <c r="D30" s="16" t="s">
        <v>78</v>
      </c>
      <c r="E30" s="15"/>
      <c r="F30" s="17">
        <v>1586.8</v>
      </c>
      <c r="G30" s="17">
        <v>1282.6500000000001</v>
      </c>
      <c r="H30" s="18">
        <v>0.60299999999999998</v>
      </c>
      <c r="I30" s="19">
        <v>0.9</v>
      </c>
      <c r="J30" s="19">
        <v>2</v>
      </c>
      <c r="K30" s="19">
        <v>0.79</v>
      </c>
      <c r="L30" s="20">
        <v>29</v>
      </c>
      <c r="M30" s="28">
        <v>44.544320999999997</v>
      </c>
      <c r="N30" s="28">
        <v>11.382828</v>
      </c>
      <c r="O30" s="26">
        <f>IF(COUNTA(C30:N30),IF(LEFT(E$4,1)="C",ZenithAngle(M30,N30,D30,$I$4),L30),"---")</f>
        <v>29</v>
      </c>
      <c r="P30" s="26">
        <f t="shared" si="1"/>
        <v>0.79</v>
      </c>
      <c r="Q30" s="26">
        <f t="shared" si="2"/>
        <v>0.75563260596079207</v>
      </c>
      <c r="R30" s="26">
        <f t="shared" si="3"/>
        <v>0.80832493067809441</v>
      </c>
      <c r="S30" s="27">
        <f t="shared" si="4"/>
        <v>0.28837794921269849</v>
      </c>
      <c r="T30" s="2">
        <f t="shared" si="5"/>
        <v>0.19167506932190559</v>
      </c>
      <c r="U30" s="2">
        <f t="shared" si="6"/>
        <v>80.832493067809438</v>
      </c>
      <c r="V30" s="2">
        <f t="shared" si="0"/>
        <v>81.02416813713134</v>
      </c>
      <c r="W30" s="2">
        <v>0</v>
      </c>
      <c r="X30" s="2">
        <v>0</v>
      </c>
      <c r="Y30" s="2">
        <v>0</v>
      </c>
      <c r="Z30">
        <f t="shared" si="7"/>
        <v>4.7918767330476397E-2</v>
      </c>
    </row>
    <row r="31" spans="1:26">
      <c r="A31" s="2" t="s">
        <v>5</v>
      </c>
      <c r="B31" s="2" t="s">
        <v>8</v>
      </c>
      <c r="C31" s="15" t="s">
        <v>32</v>
      </c>
      <c r="D31" s="16" t="s">
        <v>79</v>
      </c>
      <c r="E31" s="15"/>
      <c r="F31" s="17">
        <v>1293.4000000000001</v>
      </c>
      <c r="G31" s="17">
        <v>656.66250000000002</v>
      </c>
      <c r="H31" s="18">
        <v>0.60299999999999998</v>
      </c>
      <c r="I31" s="19">
        <v>0.9</v>
      </c>
      <c r="J31" s="19">
        <v>2</v>
      </c>
      <c r="K31" s="19">
        <v>0.79</v>
      </c>
      <c r="L31" s="20">
        <v>29</v>
      </c>
      <c r="M31" s="28">
        <v>44.544320999999997</v>
      </c>
      <c r="N31" s="28">
        <v>11.382828</v>
      </c>
      <c r="O31" s="26">
        <f>IF(COUNTA(C31:N31),IF(LEFT(E$4,1)="C",ZenithAngle(M31,N31,D31,$I$4),L31),"---")</f>
        <v>29</v>
      </c>
      <c r="P31" s="26">
        <f t="shared" si="1"/>
        <v>0.79</v>
      </c>
      <c r="Q31" s="26">
        <f t="shared" si="2"/>
        <v>0.75563260596079207</v>
      </c>
      <c r="R31" s="26">
        <f t="shared" si="3"/>
        <v>0.50770256687799598</v>
      </c>
      <c r="S31" s="27">
        <f t="shared" si="4"/>
        <v>0.91864593140798412</v>
      </c>
      <c r="T31" s="2">
        <f t="shared" si="5"/>
        <v>0.49229743312200402</v>
      </c>
      <c r="U31" s="2">
        <f t="shared" si="6"/>
        <v>50.770256687799595</v>
      </c>
      <c r="V31" s="2">
        <f t="shared" si="0"/>
        <v>51.2625541209216</v>
      </c>
      <c r="W31" s="2">
        <v>0</v>
      </c>
      <c r="X31" s="2">
        <v>0</v>
      </c>
      <c r="Y31" s="2">
        <v>0</v>
      </c>
      <c r="Z31">
        <f t="shared" si="7"/>
        <v>0.12307435828050101</v>
      </c>
    </row>
    <row r="32" spans="1:26">
      <c r="A32" s="2" t="s">
        <v>5</v>
      </c>
      <c r="B32" s="2" t="s">
        <v>8</v>
      </c>
      <c r="C32" s="15" t="s">
        <v>32</v>
      </c>
      <c r="D32" s="16" t="s">
        <v>80</v>
      </c>
      <c r="E32" s="15"/>
      <c r="F32" s="17">
        <v>1318.6</v>
      </c>
      <c r="G32" s="17">
        <v>845.80000000000007</v>
      </c>
      <c r="H32" s="18">
        <v>0.60299999999999998</v>
      </c>
      <c r="I32" s="19">
        <v>0.9</v>
      </c>
      <c r="J32" s="19">
        <v>2</v>
      </c>
      <c r="K32" s="19">
        <v>0.79</v>
      </c>
      <c r="L32" s="20">
        <v>29</v>
      </c>
      <c r="M32" s="28">
        <v>44.544320999999997</v>
      </c>
      <c r="N32" s="28">
        <v>11.382828</v>
      </c>
      <c r="O32" s="26">
        <f>IF(COUNTA(C32:N32),IF(LEFT(E$4,1)="C",ZenithAngle(M32,N32,D32,$I$4),L32),"---")</f>
        <v>29</v>
      </c>
      <c r="P32" s="26">
        <f t="shared" si="1"/>
        <v>0.79</v>
      </c>
      <c r="Q32" s="26">
        <f t="shared" si="2"/>
        <v>0.75563260596079207</v>
      </c>
      <c r="R32" s="26">
        <f t="shared" si="3"/>
        <v>0.64143788866980145</v>
      </c>
      <c r="S32" s="27">
        <f t="shared" si="4"/>
        <v>0.60177399984214042</v>
      </c>
      <c r="T32" s="2">
        <f t="shared" si="5"/>
        <v>0.35856211133019855</v>
      </c>
      <c r="U32" s="2">
        <f t="shared" si="6"/>
        <v>64.143788866980145</v>
      </c>
      <c r="V32" s="2">
        <f t="shared" si="0"/>
        <v>64.502350978310346</v>
      </c>
      <c r="W32" s="2">
        <v>0</v>
      </c>
      <c r="X32" s="2">
        <v>0</v>
      </c>
      <c r="Y32" s="2">
        <v>0</v>
      </c>
      <c r="Z32">
        <f t="shared" si="7"/>
        <v>8.9640527832549638E-2</v>
      </c>
    </row>
    <row r="33" spans="1:26">
      <c r="A33" s="2" t="s">
        <v>5</v>
      </c>
      <c r="B33" s="2" t="s">
        <v>8</v>
      </c>
      <c r="C33" s="15" t="s">
        <v>32</v>
      </c>
      <c r="D33" s="16" t="s">
        <v>81</v>
      </c>
      <c r="E33" s="15"/>
      <c r="F33" s="17">
        <v>1498.4</v>
      </c>
      <c r="G33" s="17">
        <v>388.21249999999998</v>
      </c>
      <c r="H33" s="18">
        <v>0.60299999999999998</v>
      </c>
      <c r="I33" s="19">
        <v>0.9</v>
      </c>
      <c r="J33" s="19">
        <v>2</v>
      </c>
      <c r="K33" s="19">
        <v>0.79</v>
      </c>
      <c r="L33" s="20">
        <v>29</v>
      </c>
      <c r="M33" s="28">
        <v>44.544320999999997</v>
      </c>
      <c r="N33" s="28">
        <v>11.382828</v>
      </c>
      <c r="O33" s="26">
        <f>IF(COUNTA(C33:N33),IF(LEFT(E$4,1)="C",ZenithAngle(M33,N33,D33,$I$4),L33),"---")</f>
        <v>29</v>
      </c>
      <c r="P33" s="26">
        <f t="shared" si="1"/>
        <v>0.79</v>
      </c>
      <c r="Q33" s="26">
        <f t="shared" si="2"/>
        <v>0.75563260596079207</v>
      </c>
      <c r="R33" s="26">
        <f t="shared" si="3"/>
        <v>0.25908469033635873</v>
      </c>
      <c r="S33" s="27">
        <f t="shared" si="4"/>
        <v>1.830354890675659</v>
      </c>
      <c r="T33" s="2">
        <f t="shared" si="5"/>
        <v>0.74091530966364127</v>
      </c>
      <c r="U33" s="2">
        <f t="shared" si="6"/>
        <v>25.908469033635871</v>
      </c>
      <c r="V33" s="2">
        <f t="shared" si="0"/>
        <v>26.649384343299513</v>
      </c>
      <c r="W33" s="2">
        <v>0</v>
      </c>
      <c r="X33" s="2">
        <v>0</v>
      </c>
      <c r="Y33" s="2">
        <v>0</v>
      </c>
      <c r="Z33">
        <f t="shared" si="7"/>
        <v>0.18522882741591032</v>
      </c>
    </row>
    <row r="34" spans="1:26">
      <c r="A34" s="2" t="s">
        <v>5</v>
      </c>
      <c r="B34" s="2" t="s">
        <v>8</v>
      </c>
      <c r="C34" s="15" t="s">
        <v>32</v>
      </c>
      <c r="D34" s="16" t="s">
        <v>82</v>
      </c>
      <c r="E34" s="15"/>
      <c r="F34" s="17">
        <v>1515.6</v>
      </c>
      <c r="G34" s="17">
        <v>1347.425</v>
      </c>
      <c r="H34" s="18">
        <v>0.60299999999999998</v>
      </c>
      <c r="I34" s="19">
        <v>0.9</v>
      </c>
      <c r="J34" s="19">
        <v>2</v>
      </c>
      <c r="K34" s="19">
        <v>0.79</v>
      </c>
      <c r="L34" s="20">
        <v>29</v>
      </c>
      <c r="M34" s="28">
        <v>44.544320999999997</v>
      </c>
      <c r="N34" s="28">
        <v>11.382828</v>
      </c>
      <c r="O34" s="26">
        <f>IF(COUNTA(C34:N34),IF(LEFT(E$4,1)="C",ZenithAngle(M34,N34,D34,$I$4),L34),"---")</f>
        <v>29</v>
      </c>
      <c r="P34" s="26">
        <f t="shared" si="1"/>
        <v>0.79</v>
      </c>
      <c r="Q34" s="26">
        <f t="shared" si="2"/>
        <v>0.75563260596079207</v>
      </c>
      <c r="R34" s="26">
        <f t="shared" si="3"/>
        <v>0.88903734494589604</v>
      </c>
      <c r="S34" s="27">
        <f t="shared" si="4"/>
        <v>0.15939511543420395</v>
      </c>
      <c r="T34" s="2">
        <f t="shared" si="5"/>
        <v>0.11096265505410396</v>
      </c>
      <c r="U34" s="2">
        <f t="shared" si="6"/>
        <v>88.9037344945896</v>
      </c>
      <c r="V34" s="2">
        <f t="shared" si="0"/>
        <v>89.014697149643709</v>
      </c>
      <c r="W34" s="2">
        <v>0</v>
      </c>
      <c r="X34" s="2">
        <v>0</v>
      </c>
      <c r="Y34" s="2">
        <v>0</v>
      </c>
      <c r="Z34">
        <f t="shared" si="7"/>
        <v>2.7740663763525991E-2</v>
      </c>
    </row>
    <row r="35" spans="1:26">
      <c r="A35" s="2" t="s">
        <v>5</v>
      </c>
      <c r="B35" s="2" t="s">
        <v>6</v>
      </c>
      <c r="C35" s="15" t="s">
        <v>32</v>
      </c>
      <c r="D35" s="16" t="s">
        <v>83</v>
      </c>
      <c r="E35" s="15"/>
      <c r="F35" s="17">
        <v>1517</v>
      </c>
      <c r="G35" s="17">
        <v>218.93749999999997</v>
      </c>
      <c r="H35" s="18">
        <v>0.28699999999999998</v>
      </c>
      <c r="I35" s="19">
        <v>2.04</v>
      </c>
      <c r="J35" s="19">
        <v>2</v>
      </c>
      <c r="K35" s="19">
        <v>0.78</v>
      </c>
      <c r="L35" s="20">
        <v>29</v>
      </c>
      <c r="M35" s="28">
        <v>44.544320999999997</v>
      </c>
      <c r="N35" s="28">
        <v>11.382828</v>
      </c>
      <c r="O35" s="26">
        <f>IF(COUNTA(C35:N35),IF(LEFT(E$4,1)="C",ZenithAngle(M35,N35,D35,$I$4),L35),"---")</f>
        <v>29</v>
      </c>
      <c r="P35" s="26">
        <f t="shared" si="1"/>
        <v>0.78</v>
      </c>
      <c r="Q35" s="26">
        <f t="shared" si="2"/>
        <v>0.75563260596079207</v>
      </c>
      <c r="R35" s="26">
        <f t="shared" si="3"/>
        <v>0.14432267633487145</v>
      </c>
      <c r="S35" s="27">
        <f t="shared" si="4"/>
        <v>2.615852466860507</v>
      </c>
      <c r="T35" s="2">
        <f t="shared" si="5"/>
        <v>0.8556773236651285</v>
      </c>
      <c r="U35" s="2">
        <f t="shared" si="6"/>
        <v>14.432267633487145</v>
      </c>
      <c r="V35" s="2">
        <f t="shared" si="0"/>
        <v>15.287944957152273</v>
      </c>
      <c r="W35" s="2">
        <v>0</v>
      </c>
      <c r="X35" s="2">
        <v>0</v>
      </c>
      <c r="Y35" s="2">
        <v>0</v>
      </c>
      <c r="Z35">
        <f t="shared" si="7"/>
        <v>0.21391933091628212</v>
      </c>
    </row>
    <row r="36" spans="1:26">
      <c r="A36" s="2" t="s">
        <v>5</v>
      </c>
      <c r="B36" s="2" t="s">
        <v>6</v>
      </c>
      <c r="C36" s="15" t="s">
        <v>32</v>
      </c>
      <c r="D36" s="16" t="s">
        <v>84</v>
      </c>
      <c r="E36" s="15"/>
      <c r="F36" s="17">
        <v>1616.9</v>
      </c>
      <c r="G36" s="17">
        <v>635.13749999999993</v>
      </c>
      <c r="H36" s="18">
        <v>0.28699999999999998</v>
      </c>
      <c r="I36" s="19">
        <v>2.04</v>
      </c>
      <c r="J36" s="19">
        <v>2</v>
      </c>
      <c r="K36" s="19">
        <v>0.78</v>
      </c>
      <c r="L36" s="20">
        <v>29</v>
      </c>
      <c r="M36" s="28">
        <v>44.544320999999997</v>
      </c>
      <c r="N36" s="28">
        <v>11.382828</v>
      </c>
      <c r="O36" s="26">
        <f>IF(COUNTA(C36:N36),IF(LEFT(E$4,1)="C",ZenithAngle(M36,N36,D36,$I$4),L36),"---")</f>
        <v>29</v>
      </c>
      <c r="P36" s="26">
        <f t="shared" si="1"/>
        <v>0.78</v>
      </c>
      <c r="Q36" s="26">
        <f t="shared" si="2"/>
        <v>0.75563260596079207</v>
      </c>
      <c r="R36" s="26">
        <f t="shared" si="3"/>
        <v>0.39281186220545483</v>
      </c>
      <c r="S36" s="27">
        <f t="shared" si="4"/>
        <v>1.2627535251419129</v>
      </c>
      <c r="T36" s="2">
        <f t="shared" si="5"/>
        <v>0.60718813779454517</v>
      </c>
      <c r="U36" s="2">
        <f t="shared" si="6"/>
        <v>39.281186220545486</v>
      </c>
      <c r="V36" s="2">
        <f t="shared" si="0"/>
        <v>39.88837435834003</v>
      </c>
      <c r="W36" s="2">
        <v>0</v>
      </c>
      <c r="X36" s="2">
        <v>0</v>
      </c>
      <c r="Y36" s="2">
        <v>0</v>
      </c>
      <c r="Z36">
        <f t="shared" si="7"/>
        <v>0.15179703444863629</v>
      </c>
    </row>
    <row r="37" spans="1:26">
      <c r="A37" s="2" t="s">
        <v>5</v>
      </c>
      <c r="B37" s="2" t="s">
        <v>6</v>
      </c>
      <c r="C37" s="15" t="s">
        <v>32</v>
      </c>
      <c r="D37" s="16" t="s">
        <v>85</v>
      </c>
      <c r="E37" s="15"/>
      <c r="F37" s="17">
        <v>1404.9</v>
      </c>
      <c r="G37" s="17">
        <v>553.6</v>
      </c>
      <c r="H37" s="18">
        <v>0.28699999999999998</v>
      </c>
      <c r="I37" s="19">
        <v>2.04</v>
      </c>
      <c r="J37" s="19">
        <v>2</v>
      </c>
      <c r="K37" s="19">
        <v>0.78</v>
      </c>
      <c r="L37" s="20">
        <v>29</v>
      </c>
      <c r="M37" s="28">
        <v>44.544320999999997</v>
      </c>
      <c r="N37" s="28">
        <v>11.382828</v>
      </c>
      <c r="O37" s="26">
        <f>IF(COUNTA(C37:N37),IF(LEFT(E$4,1)="C",ZenithAngle(M37,N37,D37,$I$4),L37),"---")</f>
        <v>29</v>
      </c>
      <c r="P37" s="26">
        <f t="shared" si="1"/>
        <v>0.78</v>
      </c>
      <c r="Q37" s="26">
        <f t="shared" si="2"/>
        <v>0.75563260596079207</v>
      </c>
      <c r="R37" s="26">
        <f t="shared" si="3"/>
        <v>0.39404939853370347</v>
      </c>
      <c r="S37" s="27">
        <f t="shared" si="4"/>
        <v>1.2585027853850539</v>
      </c>
      <c r="T37" s="2">
        <f t="shared" si="5"/>
        <v>0.60595060146629653</v>
      </c>
      <c r="U37" s="2">
        <f t="shared" si="6"/>
        <v>39.404939853370344</v>
      </c>
      <c r="V37" s="2">
        <f t="shared" si="0"/>
        <v>40.010890454836641</v>
      </c>
      <c r="W37" s="2">
        <v>0</v>
      </c>
      <c r="X37" s="2">
        <v>0</v>
      </c>
      <c r="Y37" s="2">
        <v>0</v>
      </c>
      <c r="Z37">
        <f t="shared" si="7"/>
        <v>0.15148765036657413</v>
      </c>
    </row>
    <row r="38" spans="1:26">
      <c r="A38" s="2" t="s">
        <v>5</v>
      </c>
      <c r="B38" s="2" t="s">
        <v>6</v>
      </c>
      <c r="C38" s="15" t="s">
        <v>32</v>
      </c>
      <c r="D38" s="16" t="s">
        <v>86</v>
      </c>
      <c r="E38" s="15"/>
      <c r="F38" s="17">
        <v>1650</v>
      </c>
      <c r="G38" s="17">
        <v>468.33749999999998</v>
      </c>
      <c r="H38" s="18">
        <v>0.28699999999999998</v>
      </c>
      <c r="I38" s="19">
        <v>2.04</v>
      </c>
      <c r="J38" s="19">
        <v>2</v>
      </c>
      <c r="K38" s="19">
        <v>0.78</v>
      </c>
      <c r="L38" s="20">
        <v>29</v>
      </c>
      <c r="M38" s="28">
        <v>44.544320999999997</v>
      </c>
      <c r="N38" s="28">
        <v>11.382828</v>
      </c>
      <c r="O38" s="26">
        <f>IF(COUNTA(C38:N38),IF(LEFT(E$4,1)="C",ZenithAngle(M38,N38,D38,$I$4),L38),"---")</f>
        <v>29</v>
      </c>
      <c r="P38" s="26">
        <f t="shared" si="1"/>
        <v>0.78</v>
      </c>
      <c r="Q38" s="26">
        <f t="shared" si="2"/>
        <v>0.75563260596079207</v>
      </c>
      <c r="R38" s="26">
        <f t="shared" si="3"/>
        <v>0.28384090909090909</v>
      </c>
      <c r="S38" s="27">
        <f t="shared" si="4"/>
        <v>1.7018365385765624</v>
      </c>
      <c r="T38" s="2">
        <f t="shared" si="5"/>
        <v>0.71615909090909091</v>
      </c>
      <c r="U38" s="2">
        <f t="shared" si="6"/>
        <v>28.384090909090908</v>
      </c>
      <c r="V38" s="2">
        <f t="shared" si="0"/>
        <v>29.100249999999999</v>
      </c>
      <c r="W38" s="2">
        <v>0</v>
      </c>
      <c r="X38" s="2">
        <v>0</v>
      </c>
      <c r="Y38" s="2">
        <v>0</v>
      </c>
      <c r="Z38">
        <f t="shared" si="7"/>
        <v>0.17903977272727273</v>
      </c>
    </row>
    <row r="39" spans="1:26">
      <c r="A39" s="2" t="s">
        <v>5</v>
      </c>
      <c r="B39" s="2" t="s">
        <v>6</v>
      </c>
      <c r="C39" s="15" t="s">
        <v>32</v>
      </c>
      <c r="D39" s="16" t="s">
        <v>87</v>
      </c>
      <c r="E39" s="15"/>
      <c r="F39" s="17">
        <v>1674.7</v>
      </c>
      <c r="G39" s="17">
        <v>584.94999999999993</v>
      </c>
      <c r="H39" s="18">
        <v>0.28699999999999998</v>
      </c>
      <c r="I39" s="19">
        <v>2.04</v>
      </c>
      <c r="J39" s="19">
        <v>2</v>
      </c>
      <c r="K39" s="19">
        <v>0.78</v>
      </c>
      <c r="L39" s="20">
        <v>29</v>
      </c>
      <c r="M39" s="28">
        <v>44.544320999999997</v>
      </c>
      <c r="N39" s="28">
        <v>11.382828</v>
      </c>
      <c r="O39" s="26">
        <f>IF(COUNTA(C39:N39),IF(LEFT(E$4,1)="C",ZenithAngle(M39,N39,D39,$I$4),L39),"---")</f>
        <v>29</v>
      </c>
      <c r="P39" s="26">
        <f t="shared" si="1"/>
        <v>0.78</v>
      </c>
      <c r="Q39" s="26">
        <f t="shared" si="2"/>
        <v>0.75563260596079207</v>
      </c>
      <c r="R39" s="26">
        <f t="shared" si="3"/>
        <v>0.34928643936227377</v>
      </c>
      <c r="S39" s="27">
        <f t="shared" si="4"/>
        <v>1.42145635404779</v>
      </c>
      <c r="T39" s="2">
        <f t="shared" si="5"/>
        <v>0.65071356063772623</v>
      </c>
      <c r="U39" s="2">
        <f t="shared" si="6"/>
        <v>34.928643936227374</v>
      </c>
      <c r="V39" s="2">
        <f t="shared" si="0"/>
        <v>35.5793574968651</v>
      </c>
      <c r="W39" s="2">
        <v>0</v>
      </c>
      <c r="X39" s="2">
        <v>0</v>
      </c>
      <c r="Y39" s="2">
        <v>0</v>
      </c>
      <c r="Z39">
        <f t="shared" si="7"/>
        <v>0.16267839015943156</v>
      </c>
    </row>
    <row r="40" spans="1:26">
      <c r="A40" s="2" t="s">
        <v>5</v>
      </c>
      <c r="B40" s="2" t="s">
        <v>6</v>
      </c>
      <c r="C40" s="15" t="s">
        <v>32</v>
      </c>
      <c r="D40" s="16" t="s">
        <v>88</v>
      </c>
      <c r="E40" s="15"/>
      <c r="F40" s="17">
        <v>1507.9</v>
      </c>
      <c r="G40" s="17">
        <v>516.01250000000005</v>
      </c>
      <c r="H40" s="18">
        <v>0.28699999999999998</v>
      </c>
      <c r="I40" s="19">
        <v>2.04</v>
      </c>
      <c r="J40" s="19">
        <v>2</v>
      </c>
      <c r="K40" s="19">
        <v>0.78</v>
      </c>
      <c r="L40" s="20">
        <v>29</v>
      </c>
      <c r="M40" s="28">
        <v>44.544320999999997</v>
      </c>
      <c r="N40" s="28">
        <v>11.382828</v>
      </c>
      <c r="O40" s="26">
        <f>IF(COUNTA(C40:N40),IF(LEFT(E$4,1)="C",ZenithAngle(M40,N40,D40,$I$4),L40),"---")</f>
        <v>29</v>
      </c>
      <c r="P40" s="26">
        <f t="shared" si="1"/>
        <v>0.78</v>
      </c>
      <c r="Q40" s="26">
        <f t="shared" si="2"/>
        <v>0.75563260596079207</v>
      </c>
      <c r="R40" s="26">
        <f t="shared" si="3"/>
        <v>0.3422060481464288</v>
      </c>
      <c r="S40" s="27">
        <f t="shared" si="4"/>
        <v>1.4491314626159151</v>
      </c>
      <c r="T40" s="2">
        <f t="shared" si="5"/>
        <v>0.65779395185357115</v>
      </c>
      <c r="U40" s="2">
        <f t="shared" si="6"/>
        <v>34.220604814642883</v>
      </c>
      <c r="V40" s="2">
        <f t="shared" si="0"/>
        <v>34.878398766496453</v>
      </c>
      <c r="W40" s="2">
        <v>0</v>
      </c>
      <c r="X40" s="2">
        <v>0</v>
      </c>
      <c r="Y40" s="2">
        <v>0</v>
      </c>
      <c r="Z40">
        <f t="shared" si="7"/>
        <v>0.16444848796339279</v>
      </c>
    </row>
    <row r="41" spans="1:26">
      <c r="A41" s="2" t="s">
        <v>5</v>
      </c>
      <c r="B41" s="2" t="s">
        <v>6</v>
      </c>
      <c r="C41" s="15" t="s">
        <v>32</v>
      </c>
      <c r="D41" s="16" t="s">
        <v>89</v>
      </c>
      <c r="E41" s="15"/>
      <c r="F41" s="17">
        <v>1524.7</v>
      </c>
      <c r="G41" s="17">
        <v>498.68750000000011</v>
      </c>
      <c r="H41" s="18">
        <v>0.28699999999999998</v>
      </c>
      <c r="I41" s="19">
        <v>2.04</v>
      </c>
      <c r="J41" s="19">
        <v>2</v>
      </c>
      <c r="K41" s="19">
        <v>0.78</v>
      </c>
      <c r="L41" s="20">
        <v>29</v>
      </c>
      <c r="M41" s="28">
        <v>44.544320999999997</v>
      </c>
      <c r="N41" s="28">
        <v>11.382828</v>
      </c>
      <c r="O41" s="26">
        <f>IF(COUNTA(C41:N41),IF(LEFT(E$4,1)="C",ZenithAngle(M41,N41,D41,$I$4),L41),"---")</f>
        <v>29</v>
      </c>
      <c r="P41" s="26">
        <f t="shared" si="1"/>
        <v>0.78</v>
      </c>
      <c r="Q41" s="26">
        <f t="shared" si="2"/>
        <v>0.75563260596079207</v>
      </c>
      <c r="R41" s="26">
        <f t="shared" si="3"/>
        <v>0.32707253886010368</v>
      </c>
      <c r="S41" s="27">
        <f t="shared" si="4"/>
        <v>1.5102553710895441</v>
      </c>
      <c r="T41" s="2">
        <f t="shared" si="5"/>
        <v>0.67292746113989632</v>
      </c>
      <c r="U41" s="2">
        <f t="shared" si="6"/>
        <v>32.707253886010371</v>
      </c>
      <c r="V41" s="2">
        <f t="shared" si="0"/>
        <v>33.38018134715027</v>
      </c>
      <c r="W41" s="2">
        <v>0</v>
      </c>
      <c r="X41" s="2">
        <v>0</v>
      </c>
      <c r="Y41" s="2">
        <v>0</v>
      </c>
      <c r="Z41">
        <f t="shared" si="7"/>
        <v>0.16823186528497408</v>
      </c>
    </row>
    <row r="42" spans="1:26">
      <c r="A42" s="2" t="s">
        <v>5</v>
      </c>
      <c r="B42" s="2" t="s">
        <v>6</v>
      </c>
      <c r="C42" s="15" t="s">
        <v>32</v>
      </c>
      <c r="D42" s="16" t="s">
        <v>90</v>
      </c>
      <c r="E42" s="15"/>
      <c r="F42" s="17">
        <v>1278.7</v>
      </c>
      <c r="G42" s="17">
        <v>439.96250000000003</v>
      </c>
      <c r="H42" s="18">
        <v>0.28699999999999998</v>
      </c>
      <c r="I42" s="19">
        <v>2.04</v>
      </c>
      <c r="J42" s="19">
        <v>2</v>
      </c>
      <c r="K42" s="19">
        <v>0.78</v>
      </c>
      <c r="L42" s="20">
        <v>29</v>
      </c>
      <c r="M42" s="28">
        <v>44.544320999999997</v>
      </c>
      <c r="N42" s="28">
        <v>11.382828</v>
      </c>
      <c r="O42" s="26">
        <f>IF(COUNTA(C42:N42),IF(LEFT(E$4,1)="C",ZenithAngle(M42,N42,D42,$I$4),L42),"---")</f>
        <v>29</v>
      </c>
      <c r="P42" s="26">
        <f t="shared" si="1"/>
        <v>0.78</v>
      </c>
      <c r="Q42" s="26">
        <f t="shared" si="2"/>
        <v>0.75563260596079207</v>
      </c>
      <c r="R42" s="26">
        <f t="shared" si="3"/>
        <v>0.34407014937045438</v>
      </c>
      <c r="S42" s="27">
        <f t="shared" si="4"/>
        <v>1.4417901115946978</v>
      </c>
      <c r="T42" s="2">
        <f t="shared" si="5"/>
        <v>0.65592985062954567</v>
      </c>
      <c r="U42" s="2">
        <f t="shared" si="6"/>
        <v>34.407014937045439</v>
      </c>
      <c r="V42" s="2">
        <f t="shared" si="0"/>
        <v>35.062944787674986</v>
      </c>
      <c r="W42" s="2">
        <v>0</v>
      </c>
      <c r="X42" s="2">
        <v>0</v>
      </c>
      <c r="Y42" s="2">
        <v>0</v>
      </c>
      <c r="Z42">
        <f t="shared" si="7"/>
        <v>0.16398246265738642</v>
      </c>
    </row>
    <row r="43" spans="1:26">
      <c r="A43" s="2" t="s">
        <v>5</v>
      </c>
      <c r="B43" s="2" t="s">
        <v>6</v>
      </c>
      <c r="C43" s="15" t="s">
        <v>32</v>
      </c>
      <c r="D43" s="16" t="s">
        <v>91</v>
      </c>
      <c r="E43" s="15"/>
      <c r="F43" s="17">
        <v>1363.8</v>
      </c>
      <c r="G43" s="17">
        <v>184.42500000000001</v>
      </c>
      <c r="H43" s="18">
        <v>0.28699999999999998</v>
      </c>
      <c r="I43" s="19">
        <v>2.04</v>
      </c>
      <c r="J43" s="19">
        <v>2</v>
      </c>
      <c r="K43" s="19">
        <v>0.78</v>
      </c>
      <c r="L43" s="20">
        <v>29</v>
      </c>
      <c r="M43" s="28">
        <v>44.544320999999997</v>
      </c>
      <c r="N43" s="28">
        <v>11.382828</v>
      </c>
      <c r="O43" s="26">
        <f>IF(COUNTA(C43:N43),IF(LEFT(E$4,1)="C",ZenithAngle(M43,N43,D43,$I$4),L43),"---")</f>
        <v>29</v>
      </c>
      <c r="P43" s="26">
        <f t="shared" si="1"/>
        <v>0.78</v>
      </c>
      <c r="Q43" s="26">
        <f t="shared" si="2"/>
        <v>0.75563260596079207</v>
      </c>
      <c r="R43" s="26">
        <f t="shared" si="3"/>
        <v>0.13522877254729435</v>
      </c>
      <c r="S43" s="27">
        <f t="shared" si="4"/>
        <v>2.7038045718396151</v>
      </c>
      <c r="T43" s="2">
        <f t="shared" si="5"/>
        <v>0.86477122745270563</v>
      </c>
      <c r="U43" s="2">
        <f t="shared" si="6"/>
        <v>13.522877254729435</v>
      </c>
      <c r="V43" s="2">
        <f t="shared" si="0"/>
        <v>14.38764848218214</v>
      </c>
      <c r="W43" s="2">
        <v>0</v>
      </c>
      <c r="X43" s="2">
        <v>0</v>
      </c>
      <c r="Y43" s="2">
        <v>0</v>
      </c>
      <c r="Z43">
        <f t="shared" si="7"/>
        <v>0.21619280686317641</v>
      </c>
    </row>
    <row r="44" spans="1:26">
      <c r="A44" s="2" t="s">
        <v>5</v>
      </c>
      <c r="B44" s="2" t="s">
        <v>6</v>
      </c>
      <c r="C44" s="15" t="s">
        <v>32</v>
      </c>
      <c r="D44" s="16" t="s">
        <v>92</v>
      </c>
      <c r="E44" s="15"/>
      <c r="F44" s="17">
        <v>1498.7</v>
      </c>
      <c r="G44" s="17">
        <v>236.52500000000001</v>
      </c>
      <c r="H44" s="18">
        <v>0.28699999999999998</v>
      </c>
      <c r="I44" s="19">
        <v>2.04</v>
      </c>
      <c r="J44" s="19">
        <v>2</v>
      </c>
      <c r="K44" s="19">
        <v>0.78</v>
      </c>
      <c r="L44" s="20">
        <v>29</v>
      </c>
      <c r="M44" s="28">
        <v>44.544320999999997</v>
      </c>
      <c r="N44" s="28">
        <v>11.382828</v>
      </c>
      <c r="O44" s="26">
        <f>IF(COUNTA(C44:N44),IF(LEFT(E$4,1)="C",ZenithAngle(M44,N44,D44,$I$4),L44),"---")</f>
        <v>29</v>
      </c>
      <c r="P44" s="26">
        <f t="shared" si="1"/>
        <v>0.78</v>
      </c>
      <c r="Q44" s="26">
        <f t="shared" si="2"/>
        <v>0.75563260596079207</v>
      </c>
      <c r="R44" s="26">
        <f t="shared" si="3"/>
        <v>0.15782011076266098</v>
      </c>
      <c r="S44" s="27">
        <f t="shared" si="4"/>
        <v>2.4950342260883178</v>
      </c>
      <c r="T44" s="2">
        <f t="shared" si="5"/>
        <v>0.842179889237339</v>
      </c>
      <c r="U44" s="2">
        <f t="shared" si="6"/>
        <v>15.782011076266098</v>
      </c>
      <c r="V44" s="2">
        <f t="shared" si="0"/>
        <v>16.624190965503438</v>
      </c>
      <c r="W44" s="2">
        <v>0</v>
      </c>
      <c r="X44" s="2">
        <v>0</v>
      </c>
      <c r="Y44" s="2">
        <v>0</v>
      </c>
      <c r="Z44">
        <f t="shared" si="7"/>
        <v>0.21054497230933475</v>
      </c>
    </row>
    <row r="45" spans="1:26">
      <c r="A45" s="2" t="s">
        <v>5</v>
      </c>
      <c r="B45" s="2" t="s">
        <v>9</v>
      </c>
      <c r="C45" s="15" t="s">
        <v>32</v>
      </c>
      <c r="D45" s="16" t="s">
        <v>93</v>
      </c>
      <c r="E45" s="15"/>
      <c r="F45" s="17">
        <v>1357</v>
      </c>
      <c r="G45" s="17">
        <v>865.0625</v>
      </c>
      <c r="H45" s="18">
        <v>0.28999999999999998</v>
      </c>
      <c r="I45" s="19">
        <v>2.21</v>
      </c>
      <c r="J45" s="19">
        <v>2</v>
      </c>
      <c r="K45" s="19">
        <v>0.84</v>
      </c>
      <c r="L45" s="20">
        <v>29</v>
      </c>
      <c r="M45" s="28">
        <v>44.544320999999997</v>
      </c>
      <c r="N45" s="28">
        <v>11.382828</v>
      </c>
      <c r="O45" s="26">
        <f>IF(COUNTA(C45:N45),IF(LEFT(E$4,1)="C",ZenithAngle(M45,N45,D45,$I$4),L45),"---")</f>
        <v>29</v>
      </c>
      <c r="P45" s="26">
        <f t="shared" si="1"/>
        <v>0.84</v>
      </c>
      <c r="Q45" s="26">
        <f t="shared" si="2"/>
        <v>0.75563260596079207</v>
      </c>
      <c r="R45" s="26">
        <f t="shared" si="3"/>
        <v>0.63748157700810615</v>
      </c>
      <c r="S45" s="27">
        <f t="shared" si="4"/>
        <v>0.61921894160181079</v>
      </c>
      <c r="T45" s="2">
        <f t="shared" si="5"/>
        <v>0.36251842299189385</v>
      </c>
      <c r="U45" s="2">
        <f t="shared" si="6"/>
        <v>63.748157700810616</v>
      </c>
      <c r="V45" s="2">
        <f t="shared" si="0"/>
        <v>64.110676123802506</v>
      </c>
      <c r="W45" s="2">
        <v>0</v>
      </c>
      <c r="X45" s="2">
        <v>0</v>
      </c>
      <c r="Y45" s="2">
        <v>0</v>
      </c>
      <c r="Z45">
        <f t="shared" si="7"/>
        <v>9.0629605747973463E-2</v>
      </c>
    </row>
    <row r="46" spans="1:26">
      <c r="A46" s="2" t="s">
        <v>5</v>
      </c>
      <c r="B46" s="2" t="s">
        <v>9</v>
      </c>
      <c r="C46" s="15" t="s">
        <v>32</v>
      </c>
      <c r="D46" s="16" t="s">
        <v>94</v>
      </c>
      <c r="E46" s="15"/>
      <c r="F46" s="17">
        <v>1469.1</v>
      </c>
      <c r="G46" s="17">
        <v>426.82499999999999</v>
      </c>
      <c r="H46" s="18">
        <v>0.28999999999999998</v>
      </c>
      <c r="I46" s="19">
        <v>2.21</v>
      </c>
      <c r="J46" s="19">
        <v>2</v>
      </c>
      <c r="K46" s="19">
        <v>0.84</v>
      </c>
      <c r="L46" s="20">
        <v>29</v>
      </c>
      <c r="M46" s="28">
        <v>44.544320999999997</v>
      </c>
      <c r="N46" s="28">
        <v>11.382828</v>
      </c>
      <c r="O46" s="26">
        <f>IF(COUNTA(C46:N46),IF(LEFT(E$4,1)="C",ZenithAngle(M46,N46,D46,$I$4),L46),"---")</f>
        <v>29</v>
      </c>
      <c r="P46" s="26">
        <f t="shared" si="1"/>
        <v>0.84</v>
      </c>
      <c r="Q46" s="26">
        <f t="shared" si="2"/>
        <v>0.75563260596079207</v>
      </c>
      <c r="R46" s="26">
        <f t="shared" si="3"/>
        <v>0.29053502144169902</v>
      </c>
      <c r="S46" s="27">
        <f t="shared" si="4"/>
        <v>1.6999623994317963</v>
      </c>
      <c r="T46" s="2">
        <f t="shared" si="5"/>
        <v>0.70946497855830093</v>
      </c>
      <c r="U46" s="2">
        <f t="shared" si="6"/>
        <v>29.053502144169901</v>
      </c>
      <c r="V46" s="2">
        <f t="shared" si="0"/>
        <v>29.762967122728202</v>
      </c>
      <c r="W46" s="2">
        <v>0</v>
      </c>
      <c r="X46" s="2">
        <v>0</v>
      </c>
      <c r="Y46" s="2">
        <v>0</v>
      </c>
      <c r="Z46">
        <f t="shared" si="7"/>
        <v>0.17736624463957523</v>
      </c>
    </row>
    <row r="47" spans="1:26">
      <c r="A47" s="2" t="s">
        <v>5</v>
      </c>
      <c r="B47" s="2" t="s">
        <v>9</v>
      </c>
      <c r="C47" s="15" t="s">
        <v>32</v>
      </c>
      <c r="D47" s="16" t="s">
        <v>95</v>
      </c>
      <c r="E47" s="15"/>
      <c r="F47" s="17">
        <v>1706.5</v>
      </c>
      <c r="G47" s="17">
        <v>358.875</v>
      </c>
      <c r="H47" s="18">
        <v>0.28999999999999998</v>
      </c>
      <c r="I47" s="19">
        <v>2.21</v>
      </c>
      <c r="J47" s="19">
        <v>2</v>
      </c>
      <c r="K47" s="19">
        <v>0.84</v>
      </c>
      <c r="L47" s="20">
        <v>29</v>
      </c>
      <c r="M47" s="28">
        <v>44.544320999999997</v>
      </c>
      <c r="N47" s="28">
        <v>11.382828</v>
      </c>
      <c r="O47" s="26">
        <f>IF(COUNTA(C47:N47),IF(LEFT(E$4,1)="C",ZenithAngle(M47,N47,D47,$I$4),L47),"---")</f>
        <v>29</v>
      </c>
      <c r="P47" s="26">
        <f t="shared" si="1"/>
        <v>0.84</v>
      </c>
      <c r="Q47" s="26">
        <f t="shared" si="2"/>
        <v>0.75563260596079207</v>
      </c>
      <c r="R47" s="26">
        <f t="shared" si="3"/>
        <v>0.21029885731028422</v>
      </c>
      <c r="S47" s="27">
        <f t="shared" si="4"/>
        <v>2.1444645096703985</v>
      </c>
      <c r="T47" s="2">
        <f t="shared" si="5"/>
        <v>0.78970114268971581</v>
      </c>
      <c r="U47" s="2">
        <f t="shared" si="6"/>
        <v>21.029885731028422</v>
      </c>
      <c r="V47" s="2">
        <f t="shared" si="0"/>
        <v>21.819586873718137</v>
      </c>
      <c r="W47" s="2">
        <v>0</v>
      </c>
      <c r="X47" s="2">
        <v>0</v>
      </c>
      <c r="Y47" s="2">
        <v>0</v>
      </c>
      <c r="Z47">
        <f t="shared" si="7"/>
        <v>0.19742528567242895</v>
      </c>
    </row>
    <row r="48" spans="1:26">
      <c r="A48" s="2" t="s">
        <v>5</v>
      </c>
      <c r="B48" s="2" t="s">
        <v>9</v>
      </c>
      <c r="C48" s="15" t="s">
        <v>32</v>
      </c>
      <c r="D48" s="16" t="s">
        <v>96</v>
      </c>
      <c r="E48" s="15"/>
      <c r="F48" s="17">
        <v>1168.2</v>
      </c>
      <c r="G48" s="17">
        <v>766.88750000000005</v>
      </c>
      <c r="H48" s="18">
        <v>0.28999999999999998</v>
      </c>
      <c r="I48" s="19">
        <v>2.21</v>
      </c>
      <c r="J48" s="19">
        <v>2</v>
      </c>
      <c r="K48" s="19">
        <v>0.84</v>
      </c>
      <c r="L48" s="20">
        <v>29</v>
      </c>
      <c r="M48" s="28">
        <v>44.544320999999997</v>
      </c>
      <c r="N48" s="28">
        <v>11.382828</v>
      </c>
      <c r="O48" s="26">
        <f>IF(COUNTA(C48:N48),IF(LEFT(E$4,1)="C",ZenithAngle(M48,N48,D48,$I$4),L48),"---")</f>
        <v>29</v>
      </c>
      <c r="P48" s="26">
        <f t="shared" si="1"/>
        <v>0.84</v>
      </c>
      <c r="Q48" s="26">
        <f t="shared" si="2"/>
        <v>0.75563260596079207</v>
      </c>
      <c r="R48" s="26">
        <f t="shared" si="3"/>
        <v>0.65646935456257494</v>
      </c>
      <c r="S48" s="27">
        <f t="shared" si="4"/>
        <v>0.57885185584712207</v>
      </c>
      <c r="T48" s="2">
        <f t="shared" si="5"/>
        <v>0.34353064543742506</v>
      </c>
      <c r="U48" s="2">
        <f t="shared" si="6"/>
        <v>65.646935456257495</v>
      </c>
      <c r="V48" s="2">
        <f t="shared" si="0"/>
        <v>65.990466101694921</v>
      </c>
      <c r="W48" s="2">
        <v>0</v>
      </c>
      <c r="X48" s="2">
        <v>0</v>
      </c>
      <c r="Y48" s="2">
        <v>0</v>
      </c>
      <c r="Z48">
        <f t="shared" si="7"/>
        <v>8.5882661359356266E-2</v>
      </c>
    </row>
    <row r="49" spans="1:26">
      <c r="A49" s="2" t="s">
        <v>5</v>
      </c>
      <c r="B49" s="2" t="s">
        <v>9</v>
      </c>
      <c r="C49" s="15" t="s">
        <v>32</v>
      </c>
      <c r="D49" s="16" t="s">
        <v>97</v>
      </c>
      <c r="E49" s="15"/>
      <c r="F49" s="17">
        <v>1464.4</v>
      </c>
      <c r="G49" s="17">
        <v>205.51250000000002</v>
      </c>
      <c r="H49" s="18">
        <v>0.28999999999999998</v>
      </c>
      <c r="I49" s="19">
        <v>2.21</v>
      </c>
      <c r="J49" s="19">
        <v>2</v>
      </c>
      <c r="K49" s="19">
        <v>0.84</v>
      </c>
      <c r="L49" s="20">
        <v>29</v>
      </c>
      <c r="M49" s="28">
        <v>44.544320999999997</v>
      </c>
      <c r="N49" s="28">
        <v>11.382828</v>
      </c>
      <c r="O49" s="26">
        <f>IF(COUNTA(C49:N49),IF(LEFT(E$4,1)="C",ZenithAngle(M49,N49,D49,$I$4),L49),"---")</f>
        <v>29</v>
      </c>
      <c r="P49" s="26">
        <f t="shared" si="1"/>
        <v>0.84</v>
      </c>
      <c r="Q49" s="26">
        <f t="shared" si="2"/>
        <v>0.75563260596079207</v>
      </c>
      <c r="R49" s="26">
        <f t="shared" si="3"/>
        <v>0.14033904670854958</v>
      </c>
      <c r="S49" s="27">
        <f t="shared" si="4"/>
        <v>2.7007458427239235</v>
      </c>
      <c r="T49" s="2">
        <f t="shared" si="5"/>
        <v>0.85966095329145042</v>
      </c>
      <c r="U49" s="2">
        <f t="shared" si="6"/>
        <v>14.033904670854957</v>
      </c>
      <c r="V49" s="2">
        <f t="shared" si="0"/>
        <v>14.893565624146408</v>
      </c>
      <c r="W49" s="2">
        <v>0</v>
      </c>
      <c r="X49" s="2">
        <v>0</v>
      </c>
      <c r="Y49" s="2">
        <v>0</v>
      </c>
      <c r="Z49">
        <f t="shared" si="7"/>
        <v>0.21491523832286261</v>
      </c>
    </row>
    <row r="50" spans="1:26">
      <c r="A50" s="2" t="s">
        <v>5</v>
      </c>
      <c r="B50" s="2" t="s">
        <v>9</v>
      </c>
      <c r="C50" s="15" t="s">
        <v>32</v>
      </c>
      <c r="D50" s="16" t="s">
        <v>98</v>
      </c>
      <c r="E50" s="15"/>
      <c r="F50" s="17">
        <v>1693.9</v>
      </c>
      <c r="G50" s="17">
        <v>529.75</v>
      </c>
      <c r="H50" s="18">
        <v>0.28999999999999998</v>
      </c>
      <c r="I50" s="19">
        <v>2.21</v>
      </c>
      <c r="J50" s="19">
        <v>2</v>
      </c>
      <c r="K50" s="19">
        <v>0.84</v>
      </c>
      <c r="L50" s="20">
        <v>29</v>
      </c>
      <c r="M50" s="28">
        <v>44.544320999999997</v>
      </c>
      <c r="N50" s="28">
        <v>11.382828</v>
      </c>
      <c r="O50" s="26">
        <f>IF(COUNTA(C50:N50),IF(LEFT(E$4,1)="C",ZenithAngle(M50,N50,D50,$I$4),L50),"---")</f>
        <v>29</v>
      </c>
      <c r="P50" s="26">
        <f t="shared" si="1"/>
        <v>0.84</v>
      </c>
      <c r="Q50" s="26">
        <f t="shared" si="2"/>
        <v>0.75563260596079207</v>
      </c>
      <c r="R50" s="26">
        <f t="shared" si="3"/>
        <v>0.31273983115886417</v>
      </c>
      <c r="S50" s="27">
        <f t="shared" si="4"/>
        <v>1.5986720743439544</v>
      </c>
      <c r="T50" s="2">
        <f t="shared" si="5"/>
        <v>0.68726016884113583</v>
      </c>
      <c r="U50" s="2">
        <f t="shared" si="6"/>
        <v>31.273983115886416</v>
      </c>
      <c r="V50" s="2">
        <f t="shared" si="0"/>
        <v>31.961243284727551</v>
      </c>
      <c r="W50" s="2">
        <v>0</v>
      </c>
      <c r="X50" s="2">
        <v>0</v>
      </c>
      <c r="Y50" s="2">
        <v>0</v>
      </c>
      <c r="Z50">
        <f t="shared" si="7"/>
        <v>0.17181504221028396</v>
      </c>
    </row>
    <row r="51" spans="1:26">
      <c r="A51" s="2" t="s">
        <v>5</v>
      </c>
      <c r="B51" s="2" t="s">
        <v>9</v>
      </c>
      <c r="C51" s="15" t="s">
        <v>32</v>
      </c>
      <c r="D51" s="16" t="s">
        <v>99</v>
      </c>
      <c r="E51" s="15"/>
      <c r="F51" s="17">
        <v>1709.1</v>
      </c>
      <c r="G51" s="17">
        <v>217.67500000000001</v>
      </c>
      <c r="H51" s="18">
        <v>0.28999999999999998</v>
      </c>
      <c r="I51" s="19">
        <v>2.21</v>
      </c>
      <c r="J51" s="19">
        <v>2</v>
      </c>
      <c r="K51" s="19">
        <v>0.84</v>
      </c>
      <c r="L51" s="20">
        <v>29</v>
      </c>
      <c r="M51" s="28">
        <v>44.544320999999997</v>
      </c>
      <c r="N51" s="28">
        <v>11.382828</v>
      </c>
      <c r="O51" s="26">
        <f>IF(COUNTA(C51:N51),IF(LEFT(E$4,1)="C",ZenithAngle(M51,N51,D51,$I$4),L51),"---")</f>
        <v>29</v>
      </c>
      <c r="P51" s="26">
        <f t="shared" si="1"/>
        <v>0.84</v>
      </c>
      <c r="Q51" s="26">
        <f t="shared" si="2"/>
        <v>0.75563260596079207</v>
      </c>
      <c r="R51" s="26">
        <f t="shared" si="3"/>
        <v>0.12736235445556143</v>
      </c>
      <c r="S51" s="27">
        <f t="shared" si="4"/>
        <v>2.834188218947387</v>
      </c>
      <c r="T51" s="2">
        <f t="shared" si="5"/>
        <v>0.87263764554443857</v>
      </c>
      <c r="U51" s="2">
        <f t="shared" si="6"/>
        <v>12.736235445556144</v>
      </c>
      <c r="V51" s="2">
        <f t="shared" si="0"/>
        <v>13.608873091100582</v>
      </c>
      <c r="W51" s="2">
        <v>0</v>
      </c>
      <c r="X51" s="2">
        <v>0</v>
      </c>
      <c r="Y51" s="2">
        <v>0</v>
      </c>
      <c r="Z51">
        <f t="shared" si="7"/>
        <v>0.21815941138610964</v>
      </c>
    </row>
    <row r="52" spans="1:26">
      <c r="A52" s="2" t="s">
        <v>5</v>
      </c>
      <c r="B52" s="2" t="s">
        <v>9</v>
      </c>
      <c r="C52" s="15" t="s">
        <v>32</v>
      </c>
      <c r="D52" s="16" t="s">
        <v>100</v>
      </c>
      <c r="E52" s="15"/>
      <c r="F52" s="17">
        <v>1681.2</v>
      </c>
      <c r="G52" s="17">
        <v>309.86250000000001</v>
      </c>
      <c r="H52" s="18">
        <v>0.28999999999999998</v>
      </c>
      <c r="I52" s="19">
        <v>2.21</v>
      </c>
      <c r="J52" s="19">
        <v>2</v>
      </c>
      <c r="K52" s="19">
        <v>0.84</v>
      </c>
      <c r="L52" s="20">
        <v>29</v>
      </c>
      <c r="M52" s="28">
        <v>44.544320999999997</v>
      </c>
      <c r="N52" s="28">
        <v>11.382828</v>
      </c>
      <c r="O52" s="26">
        <f>IF(COUNTA(C52:N52),IF(LEFT(E$4,1)="C",ZenithAngle(M52,N52,D52,$I$4),L52),"---")</f>
        <v>29</v>
      </c>
      <c r="P52" s="26">
        <f t="shared" si="1"/>
        <v>0.84</v>
      </c>
      <c r="Q52" s="26">
        <f t="shared" si="2"/>
        <v>0.75563260596079207</v>
      </c>
      <c r="R52" s="26">
        <f t="shared" si="3"/>
        <v>0.18431031406138473</v>
      </c>
      <c r="S52" s="27">
        <f t="shared" si="4"/>
        <v>2.3258839162030935</v>
      </c>
      <c r="T52" s="2">
        <f t="shared" si="5"/>
        <v>0.81568968593861524</v>
      </c>
      <c r="U52" s="2">
        <f t="shared" si="6"/>
        <v>18.431031406138473</v>
      </c>
      <c r="V52" s="2">
        <f t="shared" si="0"/>
        <v>19.246721092077088</v>
      </c>
      <c r="W52" s="2">
        <v>0</v>
      </c>
      <c r="X52" s="2">
        <v>0</v>
      </c>
      <c r="Y52" s="2">
        <v>0</v>
      </c>
      <c r="Z52">
        <f t="shared" si="7"/>
        <v>0.20392242148465381</v>
      </c>
    </row>
    <row r="53" spans="1:26">
      <c r="A53" s="2" t="s">
        <v>5</v>
      </c>
      <c r="B53" s="2" t="s">
        <v>9</v>
      </c>
      <c r="C53" s="15" t="s">
        <v>32</v>
      </c>
      <c r="D53" s="16" t="s">
        <v>101</v>
      </c>
      <c r="E53" s="15"/>
      <c r="F53" s="17">
        <v>1781.5</v>
      </c>
      <c r="G53" s="17">
        <v>389.02500000000009</v>
      </c>
      <c r="H53" s="18">
        <v>0.28999999999999998</v>
      </c>
      <c r="I53" s="19">
        <v>2.21</v>
      </c>
      <c r="J53" s="19">
        <v>2</v>
      </c>
      <c r="K53" s="19">
        <v>0.84</v>
      </c>
      <c r="L53" s="20">
        <v>29</v>
      </c>
      <c r="M53" s="28">
        <v>44.544320999999997</v>
      </c>
      <c r="N53" s="28">
        <v>11.382828</v>
      </c>
      <c r="O53" s="26">
        <f>IF(COUNTA(C53:N53),IF(LEFT(E$4,1)="C",ZenithAngle(M53,N53,D53,$I$4),L53),"---")</f>
        <v>29</v>
      </c>
      <c r="P53" s="26">
        <f t="shared" si="1"/>
        <v>0.84</v>
      </c>
      <c r="Q53" s="26">
        <f t="shared" si="2"/>
        <v>0.75563260596079207</v>
      </c>
      <c r="R53" s="26">
        <f t="shared" si="3"/>
        <v>0.21836935166994112</v>
      </c>
      <c r="S53" s="27">
        <f t="shared" si="4"/>
        <v>2.0926716279047484</v>
      </c>
      <c r="T53" s="2">
        <f t="shared" si="5"/>
        <v>0.78163064833005891</v>
      </c>
      <c r="U53" s="2">
        <f t="shared" si="6"/>
        <v>21.836935166994113</v>
      </c>
      <c r="V53" s="2">
        <f t="shared" si="0"/>
        <v>22.618565815324171</v>
      </c>
      <c r="W53" s="2">
        <v>0</v>
      </c>
      <c r="X53" s="2">
        <v>0</v>
      </c>
      <c r="Y53" s="2">
        <v>0</v>
      </c>
      <c r="Z53">
        <f t="shared" si="7"/>
        <v>0.19540766208251473</v>
      </c>
    </row>
    <row r="54" spans="1:26">
      <c r="A54" s="2" t="s">
        <v>5</v>
      </c>
      <c r="B54" s="2" t="s">
        <v>9</v>
      </c>
      <c r="C54" s="15" t="s">
        <v>32</v>
      </c>
      <c r="D54" s="16" t="s">
        <v>102</v>
      </c>
      <c r="E54" s="15"/>
      <c r="F54" s="17">
        <v>1651.9</v>
      </c>
      <c r="G54" s="17">
        <v>344.22500000000002</v>
      </c>
      <c r="H54" s="18">
        <v>0.28999999999999998</v>
      </c>
      <c r="I54" s="19">
        <v>2.21</v>
      </c>
      <c r="J54" s="19">
        <v>2</v>
      </c>
      <c r="K54" s="19">
        <v>0.84</v>
      </c>
      <c r="L54" s="20">
        <v>29</v>
      </c>
      <c r="M54" s="28">
        <v>44.544320999999997</v>
      </c>
      <c r="N54" s="28">
        <v>11.382828</v>
      </c>
      <c r="O54" s="26">
        <f>IF(COUNTA(C54:N54),IF(LEFT(E$4,1)="C",ZenithAngle(M54,N54,D54,$I$4),L54),"---")</f>
        <v>29</v>
      </c>
      <c r="P54" s="26">
        <f t="shared" si="1"/>
        <v>0.84</v>
      </c>
      <c r="Q54" s="26">
        <f t="shared" si="2"/>
        <v>0.75563260596079207</v>
      </c>
      <c r="R54" s="26">
        <f t="shared" si="3"/>
        <v>0.20838125794539622</v>
      </c>
      <c r="S54" s="27">
        <f t="shared" si="4"/>
        <v>2.1570629990110306</v>
      </c>
      <c r="T54" s="2">
        <f t="shared" si="5"/>
        <v>0.79161874205460381</v>
      </c>
      <c r="U54" s="2">
        <f t="shared" si="6"/>
        <v>20.838125794539621</v>
      </c>
      <c r="V54" s="2">
        <f t="shared" si="0"/>
        <v>21.629744536594224</v>
      </c>
      <c r="W54" s="2">
        <v>0</v>
      </c>
      <c r="X54" s="2">
        <v>0</v>
      </c>
      <c r="Y54" s="2">
        <v>0</v>
      </c>
      <c r="Z54">
        <f t="shared" si="7"/>
        <v>0.19790468551365095</v>
      </c>
    </row>
    <row r="55" spans="1:26">
      <c r="A55" s="2" t="s">
        <v>5</v>
      </c>
      <c r="B55" s="2" t="s">
        <v>10</v>
      </c>
      <c r="C55" s="15" t="s">
        <v>32</v>
      </c>
      <c r="D55" s="16" t="s">
        <v>103</v>
      </c>
      <c r="E55" s="15"/>
      <c r="F55" s="17">
        <v>1705.7</v>
      </c>
      <c r="G55" s="17">
        <v>612.26250000000005</v>
      </c>
      <c r="H55" s="18">
        <v>0.23799999999999999</v>
      </c>
      <c r="I55" s="19">
        <v>2.36</v>
      </c>
      <c r="J55" s="19">
        <v>2</v>
      </c>
      <c r="K55" s="19">
        <v>0.74</v>
      </c>
      <c r="L55" s="20">
        <v>28</v>
      </c>
      <c r="M55" s="28">
        <v>44.544320999999997</v>
      </c>
      <c r="N55" s="28">
        <v>11.382828</v>
      </c>
      <c r="O55" s="26">
        <f>IF(COUNTA(C55:N55),IF(LEFT(E$4,1)="C",ZenithAngle(M55,N55,D55,$I$4),L55),"---")</f>
        <v>28</v>
      </c>
      <c r="P55" s="26">
        <f t="shared" si="1"/>
        <v>0.74</v>
      </c>
      <c r="Q55" s="26">
        <f t="shared" si="2"/>
        <v>0.75347665884186377</v>
      </c>
      <c r="R55" s="26">
        <f t="shared" si="3"/>
        <v>0.35895087061030662</v>
      </c>
      <c r="S55" s="27">
        <f t="shared" si="4"/>
        <v>1.3719402307390736</v>
      </c>
      <c r="T55" s="2">
        <f t="shared" si="5"/>
        <v>0.64104912938969338</v>
      </c>
      <c r="U55" s="2">
        <f t="shared" si="6"/>
        <v>35.895087061030665</v>
      </c>
      <c r="V55" s="2">
        <f t="shared" si="0"/>
        <v>36.536136190420358</v>
      </c>
      <c r="W55" s="2">
        <v>0</v>
      </c>
      <c r="X55" s="2">
        <v>0</v>
      </c>
      <c r="Y55" s="2">
        <v>0</v>
      </c>
      <c r="Z55">
        <f t="shared" si="7"/>
        <v>0.16026228234742335</v>
      </c>
    </row>
    <row r="56" spans="1:26">
      <c r="A56" s="2" t="s">
        <v>5</v>
      </c>
      <c r="B56" s="2" t="s">
        <v>10</v>
      </c>
      <c r="C56" s="15" t="s">
        <v>32</v>
      </c>
      <c r="D56" s="16" t="s">
        <v>104</v>
      </c>
      <c r="E56" s="15"/>
      <c r="F56" s="17">
        <v>1665.7</v>
      </c>
      <c r="G56" s="17">
        <v>230.91249999999999</v>
      </c>
      <c r="H56" s="18">
        <v>0.23799999999999999</v>
      </c>
      <c r="I56" s="19">
        <v>2.36</v>
      </c>
      <c r="J56" s="19">
        <v>2</v>
      </c>
      <c r="K56" s="19">
        <v>0.74</v>
      </c>
      <c r="L56" s="20">
        <v>28</v>
      </c>
      <c r="M56" s="28">
        <v>44.544320999999997</v>
      </c>
      <c r="N56" s="28">
        <v>11.382828</v>
      </c>
      <c r="O56" s="26">
        <f>IF(COUNTA(C56:N56),IF(LEFT(E$4,1)="C",ZenithAngle(M56,N56,D56,$I$4),L56),"---")</f>
        <v>28</v>
      </c>
      <c r="P56" s="26">
        <f t="shared" si="1"/>
        <v>0.74</v>
      </c>
      <c r="Q56" s="26">
        <f t="shared" si="2"/>
        <v>0.75347665884186377</v>
      </c>
      <c r="R56" s="26">
        <f t="shared" si="3"/>
        <v>0.13862790418442697</v>
      </c>
      <c r="S56" s="27">
        <f t="shared" si="4"/>
        <v>2.6458926794613884</v>
      </c>
      <c r="T56" s="2">
        <f t="shared" si="5"/>
        <v>0.86137209581557306</v>
      </c>
      <c r="U56" s="2">
        <f t="shared" si="6"/>
        <v>13.862790418442698</v>
      </c>
      <c r="V56" s="2">
        <f t="shared" si="0"/>
        <v>14.724162514258271</v>
      </c>
      <c r="W56" s="2">
        <v>0</v>
      </c>
      <c r="X56" s="2">
        <v>0</v>
      </c>
      <c r="Y56" s="2">
        <v>0</v>
      </c>
      <c r="Z56">
        <f t="shared" si="7"/>
        <v>0.21534302395389326</v>
      </c>
    </row>
    <row r="57" spans="1:26">
      <c r="A57" s="2" t="s">
        <v>5</v>
      </c>
      <c r="B57" s="2" t="s">
        <v>10</v>
      </c>
      <c r="C57" s="15" t="s">
        <v>32</v>
      </c>
      <c r="D57" s="16" t="s">
        <v>105</v>
      </c>
      <c r="E57" s="15"/>
      <c r="F57" s="17">
        <v>1470.4</v>
      </c>
      <c r="G57" s="17">
        <v>194.56249999999994</v>
      </c>
      <c r="H57" s="18">
        <v>0.23799999999999999</v>
      </c>
      <c r="I57" s="19">
        <v>2.36</v>
      </c>
      <c r="J57" s="19">
        <v>2</v>
      </c>
      <c r="K57" s="19">
        <v>0.74</v>
      </c>
      <c r="L57" s="20">
        <v>28</v>
      </c>
      <c r="M57" s="28">
        <v>44.544320999999997</v>
      </c>
      <c r="N57" s="28">
        <v>11.382828</v>
      </c>
      <c r="O57" s="26">
        <f>IF(COUNTA(C57:N57),IF(LEFT(E$4,1)="C",ZenithAngle(M57,N57,D57,$I$4),L57),"---")</f>
        <v>28</v>
      </c>
      <c r="P57" s="26">
        <f t="shared" si="1"/>
        <v>0.74</v>
      </c>
      <c r="Q57" s="26">
        <f t="shared" si="2"/>
        <v>0.75347665884186377</v>
      </c>
      <c r="R57" s="26">
        <f t="shared" si="3"/>
        <v>0.13231943688792161</v>
      </c>
      <c r="S57" s="27">
        <f t="shared" si="4"/>
        <v>2.7082577065528959</v>
      </c>
      <c r="T57" s="2">
        <f t="shared" si="5"/>
        <v>0.86768056311207842</v>
      </c>
      <c r="U57" s="2">
        <f t="shared" si="6"/>
        <v>13.23194368879216</v>
      </c>
      <c r="V57" s="2">
        <f t="shared" si="0"/>
        <v>14.099624251904238</v>
      </c>
      <c r="W57" s="2">
        <v>0</v>
      </c>
      <c r="X57" s="2">
        <v>0</v>
      </c>
      <c r="Y57" s="2">
        <v>0</v>
      </c>
      <c r="Z57">
        <f t="shared" si="7"/>
        <v>0.2169201407780196</v>
      </c>
    </row>
    <row r="58" spans="1:26">
      <c r="A58" s="2" t="s">
        <v>5</v>
      </c>
      <c r="B58" s="2" t="s">
        <v>10</v>
      </c>
      <c r="C58" s="15" t="s">
        <v>32</v>
      </c>
      <c r="D58" s="16" t="s">
        <v>106</v>
      </c>
      <c r="E58" s="15"/>
      <c r="F58" s="17">
        <v>1637.7</v>
      </c>
      <c r="G58" s="17">
        <v>532.11249999999995</v>
      </c>
      <c r="H58" s="18">
        <v>0.23799999999999999</v>
      </c>
      <c r="I58" s="19">
        <v>2.36</v>
      </c>
      <c r="J58" s="19">
        <v>2</v>
      </c>
      <c r="K58" s="19">
        <v>0.74</v>
      </c>
      <c r="L58" s="20">
        <v>28</v>
      </c>
      <c r="M58" s="28">
        <v>44.544320999999997</v>
      </c>
      <c r="N58" s="28">
        <v>11.382828</v>
      </c>
      <c r="O58" s="26">
        <f>IF(COUNTA(C58:N58),IF(LEFT(E$4,1)="C",ZenithAngle(M58,N58,D58,$I$4),L58),"---")</f>
        <v>28</v>
      </c>
      <c r="P58" s="26">
        <f t="shared" si="1"/>
        <v>0.74</v>
      </c>
      <c r="Q58" s="26">
        <f t="shared" si="2"/>
        <v>0.75347665884186377</v>
      </c>
      <c r="R58" s="26">
        <f t="shared" si="3"/>
        <v>0.32491451425780055</v>
      </c>
      <c r="S58" s="27">
        <f t="shared" si="4"/>
        <v>1.5053400009505002</v>
      </c>
      <c r="T58" s="2">
        <f t="shared" si="5"/>
        <v>0.67508548574219951</v>
      </c>
      <c r="U58" s="2">
        <f t="shared" si="6"/>
        <v>32.491451425780056</v>
      </c>
      <c r="V58" s="2">
        <f t="shared" si="0"/>
        <v>33.166536911522257</v>
      </c>
      <c r="W58" s="2">
        <v>0</v>
      </c>
      <c r="X58" s="2">
        <v>0</v>
      </c>
      <c r="Y58" s="2">
        <v>0</v>
      </c>
      <c r="Z58">
        <f t="shared" si="7"/>
        <v>0.16877137143554988</v>
      </c>
    </row>
    <row r="59" spans="1:26">
      <c r="A59" s="2" t="s">
        <v>5</v>
      </c>
      <c r="B59" s="2" t="s">
        <v>10</v>
      </c>
      <c r="C59" s="15" t="s">
        <v>32</v>
      </c>
      <c r="D59" s="16" t="s">
        <v>107</v>
      </c>
      <c r="E59" s="15"/>
      <c r="F59" s="17">
        <v>1572.7</v>
      </c>
      <c r="G59" s="17">
        <v>370.97500000000002</v>
      </c>
      <c r="H59" s="18">
        <v>0.23799999999999999</v>
      </c>
      <c r="I59" s="19">
        <v>2.36</v>
      </c>
      <c r="J59" s="19">
        <v>2</v>
      </c>
      <c r="K59" s="19">
        <v>0.74</v>
      </c>
      <c r="L59" s="20">
        <v>28</v>
      </c>
      <c r="M59" s="28">
        <v>44.544320999999997</v>
      </c>
      <c r="N59" s="28">
        <v>11.382828</v>
      </c>
      <c r="O59" s="26">
        <f>IF(COUNTA(C59:N59),IF(LEFT(E$4,1)="C",ZenithAngle(M59,N59,D59,$I$4),L59),"---")</f>
        <v>28</v>
      </c>
      <c r="P59" s="26">
        <f t="shared" si="1"/>
        <v>0.74</v>
      </c>
      <c r="Q59" s="26">
        <f t="shared" si="2"/>
        <v>0.75347665884186377</v>
      </c>
      <c r="R59" s="26">
        <f t="shared" si="3"/>
        <v>0.23588414828002799</v>
      </c>
      <c r="S59" s="27">
        <f t="shared" si="4"/>
        <v>1.9341292770712117</v>
      </c>
      <c r="T59" s="2">
        <f t="shared" si="5"/>
        <v>0.76411585171997198</v>
      </c>
      <c r="U59" s="2">
        <f t="shared" si="6"/>
        <v>23.588414828002797</v>
      </c>
      <c r="V59" s="2">
        <f t="shared" si="0"/>
        <v>24.352530679722769</v>
      </c>
      <c r="W59" s="2">
        <v>0</v>
      </c>
      <c r="X59" s="2">
        <v>0</v>
      </c>
      <c r="Y59" s="2">
        <v>0</v>
      </c>
      <c r="Z59">
        <f t="shared" si="7"/>
        <v>0.191028962929993</v>
      </c>
    </row>
    <row r="60" spans="1:26">
      <c r="A60" s="2" t="s">
        <v>5</v>
      </c>
      <c r="B60" s="2" t="s">
        <v>10</v>
      </c>
      <c r="C60" s="15" t="s">
        <v>32</v>
      </c>
      <c r="D60" s="16" t="s">
        <v>108</v>
      </c>
      <c r="E60" s="15"/>
      <c r="F60" s="17">
        <v>1651.6</v>
      </c>
      <c r="G60" s="17">
        <v>318.23749999999995</v>
      </c>
      <c r="H60" s="18">
        <v>0.23799999999999999</v>
      </c>
      <c r="I60" s="19">
        <v>2.36</v>
      </c>
      <c r="J60" s="19">
        <v>2</v>
      </c>
      <c r="K60" s="19">
        <v>0.74</v>
      </c>
      <c r="L60" s="20">
        <v>28</v>
      </c>
      <c r="M60" s="28">
        <v>44.544320999999997</v>
      </c>
      <c r="N60" s="28">
        <v>11.382828</v>
      </c>
      <c r="O60" s="26">
        <f>IF(COUNTA(C60:N60),IF(LEFT(E$4,1)="C",ZenithAngle(M60,N60,D60,$I$4),L60),"---")</f>
        <v>28</v>
      </c>
      <c r="P60" s="26">
        <f t="shared" si="1"/>
        <v>0.74</v>
      </c>
      <c r="Q60" s="26">
        <f t="shared" si="2"/>
        <v>0.75347665884186377</v>
      </c>
      <c r="R60" s="26">
        <f t="shared" si="3"/>
        <v>0.19268436667473962</v>
      </c>
      <c r="S60" s="27">
        <f t="shared" si="4"/>
        <v>2.2050001903906398</v>
      </c>
      <c r="T60" s="2">
        <f t="shared" si="5"/>
        <v>0.80731563332526035</v>
      </c>
      <c r="U60" s="2">
        <f t="shared" si="6"/>
        <v>19.268436667473964</v>
      </c>
      <c r="V60" s="2">
        <f t="shared" si="0"/>
        <v>20.075752300799223</v>
      </c>
      <c r="W60" s="2">
        <v>0</v>
      </c>
      <c r="X60" s="2">
        <v>0</v>
      </c>
      <c r="Y60" s="2">
        <v>0</v>
      </c>
      <c r="Z60">
        <f t="shared" si="7"/>
        <v>0.20182890833131509</v>
      </c>
    </row>
    <row r="61" spans="1:26">
      <c r="A61" s="2" t="s">
        <v>5</v>
      </c>
      <c r="B61" s="2" t="s">
        <v>10</v>
      </c>
      <c r="C61" s="15" t="s">
        <v>32</v>
      </c>
      <c r="D61" s="16" t="s">
        <v>109</v>
      </c>
      <c r="E61" s="15"/>
      <c r="F61" s="17">
        <v>1569</v>
      </c>
      <c r="G61" s="17">
        <v>375.57499999999999</v>
      </c>
      <c r="H61" s="18">
        <v>0.23799999999999999</v>
      </c>
      <c r="I61" s="19">
        <v>2.36</v>
      </c>
      <c r="J61" s="19">
        <v>2</v>
      </c>
      <c r="K61" s="19">
        <v>0.74</v>
      </c>
      <c r="L61" s="20">
        <v>28</v>
      </c>
      <c r="M61" s="28">
        <v>44.544320999999997</v>
      </c>
      <c r="N61" s="28">
        <v>11.382828</v>
      </c>
      <c r="O61" s="26">
        <f>IF(COUNTA(C61:N61),IF(LEFT(E$4,1)="C",ZenithAngle(M61,N61,D61,$I$4),L61),"---")</f>
        <v>28</v>
      </c>
      <c r="P61" s="26">
        <f t="shared" si="1"/>
        <v>0.74</v>
      </c>
      <c r="Q61" s="26">
        <f t="shared" si="2"/>
        <v>0.75347665884186377</v>
      </c>
      <c r="R61" s="26">
        <f t="shared" si="3"/>
        <v>0.23937221159974506</v>
      </c>
      <c r="S61" s="27">
        <f t="shared" si="4"/>
        <v>1.9144736058763627</v>
      </c>
      <c r="T61" s="2">
        <f t="shared" si="5"/>
        <v>0.76062778840025491</v>
      </c>
      <c r="U61" s="2">
        <f t="shared" si="6"/>
        <v>23.937221159974506</v>
      </c>
      <c r="V61" s="2">
        <f t="shared" si="0"/>
        <v>24.697848948374762</v>
      </c>
      <c r="W61" s="2">
        <v>0</v>
      </c>
      <c r="X61" s="2">
        <v>0</v>
      </c>
      <c r="Y61" s="2">
        <v>0</v>
      </c>
      <c r="Z61">
        <f t="shared" si="7"/>
        <v>0.19015694710006373</v>
      </c>
    </row>
    <row r="62" spans="1:26">
      <c r="A62" s="2" t="s">
        <v>5</v>
      </c>
      <c r="B62" s="2" t="s">
        <v>10</v>
      </c>
      <c r="C62" s="15" t="s">
        <v>32</v>
      </c>
      <c r="D62" s="16" t="s">
        <v>110</v>
      </c>
      <c r="E62" s="15"/>
      <c r="F62" s="17">
        <v>1666.3</v>
      </c>
      <c r="G62" s="17">
        <v>335.88749999999999</v>
      </c>
      <c r="H62" s="18">
        <v>0.23799999999999999</v>
      </c>
      <c r="I62" s="19">
        <v>2.36</v>
      </c>
      <c r="J62" s="19">
        <v>2</v>
      </c>
      <c r="K62" s="19">
        <v>0.74</v>
      </c>
      <c r="L62" s="20">
        <v>28</v>
      </c>
      <c r="M62" s="28">
        <v>44.544320999999997</v>
      </c>
      <c r="N62" s="28">
        <v>11.382828</v>
      </c>
      <c r="O62" s="26">
        <f>IF(COUNTA(C62:N62),IF(LEFT(E$4,1)="C",ZenithAngle(M62,N62,D62,$I$4),L62),"---")</f>
        <v>28</v>
      </c>
      <c r="P62" s="26">
        <f t="shared" si="1"/>
        <v>0.74</v>
      </c>
      <c r="Q62" s="26">
        <f t="shared" si="2"/>
        <v>0.75347665884186377</v>
      </c>
      <c r="R62" s="26">
        <f t="shared" si="3"/>
        <v>0.20157684690631938</v>
      </c>
      <c r="S62" s="27">
        <f t="shared" si="4"/>
        <v>2.1445863877578937</v>
      </c>
      <c r="T62" s="2">
        <f t="shared" si="5"/>
        <v>0.79842315309368062</v>
      </c>
      <c r="U62" s="2">
        <f t="shared" si="6"/>
        <v>20.157684690631939</v>
      </c>
      <c r="V62" s="2">
        <f t="shared" si="0"/>
        <v>20.956107843725619</v>
      </c>
      <c r="W62" s="2">
        <v>0</v>
      </c>
      <c r="X62" s="2">
        <v>0</v>
      </c>
      <c r="Y62" s="2">
        <v>0</v>
      </c>
      <c r="Z62">
        <f t="shared" si="7"/>
        <v>0.19960578827342015</v>
      </c>
    </row>
    <row r="63" spans="1:26">
      <c r="A63" s="2" t="s">
        <v>5</v>
      </c>
      <c r="B63" s="2" t="s">
        <v>10</v>
      </c>
      <c r="C63" s="15" t="s">
        <v>32</v>
      </c>
      <c r="D63" s="16" t="s">
        <v>111</v>
      </c>
      <c r="E63" s="15"/>
      <c r="F63" s="17">
        <v>1579</v>
      </c>
      <c r="G63" s="17">
        <v>588.17499999999995</v>
      </c>
      <c r="H63" s="18">
        <v>0.23799999999999999</v>
      </c>
      <c r="I63" s="19">
        <v>2.36</v>
      </c>
      <c r="J63" s="19">
        <v>2</v>
      </c>
      <c r="K63" s="19">
        <v>0.74</v>
      </c>
      <c r="L63" s="20">
        <v>28</v>
      </c>
      <c r="M63" s="28">
        <v>44.544320999999997</v>
      </c>
      <c r="N63" s="28">
        <v>11.382828</v>
      </c>
      <c r="O63" s="26">
        <f>IF(COUNTA(C63:N63),IF(LEFT(E$4,1)="C",ZenithAngle(M63,N63,D63,$I$4),L63),"---")</f>
        <v>28</v>
      </c>
      <c r="P63" s="26">
        <f t="shared" si="1"/>
        <v>0.74</v>
      </c>
      <c r="Q63" s="26">
        <f t="shared" si="2"/>
        <v>0.75347665884186377</v>
      </c>
      <c r="R63" s="26">
        <f t="shared" si="3"/>
        <v>0.37249841671944267</v>
      </c>
      <c r="S63" s="27">
        <f t="shared" si="4"/>
        <v>1.3223324564040022</v>
      </c>
      <c r="T63" s="2">
        <f t="shared" si="5"/>
        <v>0.62750158328055727</v>
      </c>
      <c r="U63" s="2">
        <f t="shared" si="6"/>
        <v>37.249841671944267</v>
      </c>
      <c r="V63" s="2">
        <f t="shared" si="0"/>
        <v>37.877343255224822</v>
      </c>
      <c r="W63" s="2">
        <v>0</v>
      </c>
      <c r="X63" s="2">
        <v>0</v>
      </c>
      <c r="Y63" s="2">
        <v>0</v>
      </c>
      <c r="Z63">
        <f t="shared" si="7"/>
        <v>0.15687539582013932</v>
      </c>
    </row>
    <row r="64" spans="1:26">
      <c r="A64" s="2" t="s">
        <v>5</v>
      </c>
      <c r="B64" s="2" t="s">
        <v>10</v>
      </c>
      <c r="C64" s="15" t="s">
        <v>32</v>
      </c>
      <c r="D64" s="16" t="s">
        <v>112</v>
      </c>
      <c r="E64" s="15"/>
      <c r="F64" s="17">
        <v>1731.4</v>
      </c>
      <c r="G64" s="17">
        <v>421.0625</v>
      </c>
      <c r="H64" s="18">
        <v>0.23799999999999999</v>
      </c>
      <c r="I64" s="19">
        <v>2.36</v>
      </c>
      <c r="J64" s="19">
        <v>2</v>
      </c>
      <c r="K64" s="19">
        <v>0.74</v>
      </c>
      <c r="L64" s="20">
        <v>28</v>
      </c>
      <c r="M64" s="28">
        <v>44.544320999999997</v>
      </c>
      <c r="N64" s="28">
        <v>11.382828</v>
      </c>
      <c r="O64" s="26">
        <f>IF(COUNTA(C64:N64),IF(LEFT(E$4,1)="C",ZenithAngle(M64,N64,D64,$I$4),L64),"---")</f>
        <v>28</v>
      </c>
      <c r="P64" s="26">
        <f t="shared" si="1"/>
        <v>0.74</v>
      </c>
      <c r="Q64" s="26">
        <f t="shared" si="2"/>
        <v>0.75347665884186377</v>
      </c>
      <c r="R64" s="26">
        <f t="shared" si="3"/>
        <v>0.24319192560933348</v>
      </c>
      <c r="S64" s="27">
        <f t="shared" si="4"/>
        <v>1.8932749398758806</v>
      </c>
      <c r="T64" s="2">
        <f t="shared" si="5"/>
        <v>0.75680807439066655</v>
      </c>
      <c r="U64" s="2">
        <f t="shared" si="6"/>
        <v>24.319192560933349</v>
      </c>
      <c r="V64" s="2">
        <f t="shared" si="0"/>
        <v>25.076000635324014</v>
      </c>
      <c r="W64" s="2">
        <v>0</v>
      </c>
      <c r="X64" s="2">
        <v>0</v>
      </c>
      <c r="Y64" s="2">
        <v>0</v>
      </c>
      <c r="Z64">
        <f t="shared" si="7"/>
        <v>0.18920201859766664</v>
      </c>
    </row>
    <row r="65" spans="1:26">
      <c r="A65" s="2" t="s">
        <v>5</v>
      </c>
      <c r="B65" s="2" t="s">
        <v>10</v>
      </c>
      <c r="C65" s="15" t="s">
        <v>32</v>
      </c>
      <c r="D65" s="16" t="s">
        <v>113</v>
      </c>
      <c r="E65" s="15"/>
      <c r="F65" s="17">
        <v>1423.9</v>
      </c>
      <c r="G65" s="17">
        <v>254.88749999999999</v>
      </c>
      <c r="H65" s="18">
        <v>0.23799999999999999</v>
      </c>
      <c r="I65" s="19">
        <v>2.36</v>
      </c>
      <c r="J65" s="19">
        <v>2</v>
      </c>
      <c r="K65" s="19">
        <v>0.74</v>
      </c>
      <c r="L65" s="20">
        <v>28</v>
      </c>
      <c r="M65" s="28">
        <v>44.544320999999997</v>
      </c>
      <c r="N65" s="28">
        <v>11.382828</v>
      </c>
      <c r="O65" s="26">
        <f>IF(COUNTA(C65:N65),IF(LEFT(E$4,1)="C",ZenithAngle(M65,N65,D65,$I$4),L65),"---")</f>
        <v>28</v>
      </c>
      <c r="P65" s="26">
        <f t="shared" si="1"/>
        <v>0.74</v>
      </c>
      <c r="Q65" s="26">
        <f t="shared" si="2"/>
        <v>0.75347665884186377</v>
      </c>
      <c r="R65" s="26">
        <f t="shared" si="3"/>
        <v>0.17900660158719009</v>
      </c>
      <c r="S65" s="27">
        <f t="shared" si="4"/>
        <v>2.303594746953709</v>
      </c>
      <c r="T65" s="2">
        <f t="shared" si="5"/>
        <v>0.82099339841280994</v>
      </c>
      <c r="U65" s="2">
        <f t="shared" si="6"/>
        <v>17.90066015871901</v>
      </c>
      <c r="V65" s="2">
        <f t="shared" si="0"/>
        <v>18.72165355713182</v>
      </c>
      <c r="W65" s="2">
        <v>0</v>
      </c>
      <c r="X65" s="2">
        <v>0</v>
      </c>
      <c r="Y65" s="2">
        <v>0</v>
      </c>
      <c r="Z65">
        <f t="shared" si="7"/>
        <v>0.20524834960320248</v>
      </c>
    </row>
    <row r="66" spans="1:26">
      <c r="A66" s="2" t="s">
        <v>5</v>
      </c>
      <c r="B66" s="2" t="s">
        <v>8</v>
      </c>
      <c r="C66" s="15" t="s">
        <v>32</v>
      </c>
      <c r="D66" s="16" t="s">
        <v>114</v>
      </c>
      <c r="E66" s="15"/>
      <c r="F66" s="17">
        <v>1711.8</v>
      </c>
      <c r="G66" s="17">
        <v>876.21249999999998</v>
      </c>
      <c r="H66" s="18">
        <v>0.51</v>
      </c>
      <c r="I66" s="19">
        <v>1.26</v>
      </c>
      <c r="J66" s="19">
        <v>2</v>
      </c>
      <c r="K66" s="19">
        <v>0.81</v>
      </c>
      <c r="L66" s="20">
        <v>28</v>
      </c>
      <c r="M66" s="28">
        <v>44.544320999999997</v>
      </c>
      <c r="N66" s="28">
        <v>11.382828</v>
      </c>
      <c r="O66" s="26">
        <f>IF(COUNTA(C66:N66),IF(LEFT(E$4,1)="C",ZenithAngle(M66,N66,D66,$I$4),L66),"---")</f>
        <v>28</v>
      </c>
      <c r="P66" s="26">
        <f t="shared" si="1"/>
        <v>0.81</v>
      </c>
      <c r="Q66" s="26">
        <f t="shared" si="2"/>
        <v>0.75347665884186377</v>
      </c>
      <c r="R66" s="26">
        <f t="shared" si="3"/>
        <v>0.51186616427152709</v>
      </c>
      <c r="S66" s="27">
        <f t="shared" si="4"/>
        <v>0.91477359728752483</v>
      </c>
      <c r="T66" s="2">
        <f t="shared" si="5"/>
        <v>0.48813383572847291</v>
      </c>
      <c r="U66" s="2">
        <f t="shared" si="6"/>
        <v>51.186616427152707</v>
      </c>
      <c r="V66" s="2">
        <f t="shared" si="0"/>
        <v>51.674750262881183</v>
      </c>
      <c r="W66" s="2">
        <v>0</v>
      </c>
      <c r="X66" s="2">
        <v>0</v>
      </c>
      <c r="Y66" s="2">
        <v>0</v>
      </c>
      <c r="Z66">
        <f t="shared" si="7"/>
        <v>0.12203345893211823</v>
      </c>
    </row>
    <row r="67" spans="1:26">
      <c r="A67" s="2" t="s">
        <v>5</v>
      </c>
      <c r="B67" s="2" t="s">
        <v>8</v>
      </c>
      <c r="C67" s="15" t="s">
        <v>32</v>
      </c>
      <c r="D67" s="16" t="s">
        <v>115</v>
      </c>
      <c r="E67" s="15"/>
      <c r="F67" s="17">
        <v>1275.2</v>
      </c>
      <c r="G67" s="17">
        <v>742.47499999999991</v>
      </c>
      <c r="H67" s="18">
        <v>0.51</v>
      </c>
      <c r="I67" s="19">
        <v>1.26</v>
      </c>
      <c r="J67" s="19">
        <v>2</v>
      </c>
      <c r="K67" s="19">
        <v>0.81</v>
      </c>
      <c r="L67" s="20">
        <v>28</v>
      </c>
      <c r="M67" s="28">
        <v>44.544320999999997</v>
      </c>
      <c r="N67" s="28">
        <v>11.382828</v>
      </c>
      <c r="O67" s="26">
        <f>IF(COUNTA(C67:N67),IF(LEFT(E$4,1)="C",ZenithAngle(M67,N67,D67,$I$4),L67),"---")</f>
        <v>28</v>
      </c>
      <c r="P67" s="26">
        <f t="shared" si="1"/>
        <v>0.81</v>
      </c>
      <c r="Q67" s="26">
        <f t="shared" si="2"/>
        <v>0.75347665884186377</v>
      </c>
      <c r="R67" s="26">
        <f t="shared" si="3"/>
        <v>0.58224200125470504</v>
      </c>
      <c r="S67" s="27">
        <f t="shared" si="4"/>
        <v>0.73880637068629484</v>
      </c>
      <c r="T67" s="2">
        <f t="shared" si="5"/>
        <v>0.41775799874529496</v>
      </c>
      <c r="U67" s="2">
        <f t="shared" si="6"/>
        <v>58.224200125470503</v>
      </c>
      <c r="V67" s="2">
        <f t="shared" si="0"/>
        <v>58.641958124215797</v>
      </c>
      <c r="W67" s="2">
        <v>0</v>
      </c>
      <c r="X67" s="2">
        <v>0</v>
      </c>
      <c r="Y67" s="2">
        <v>0</v>
      </c>
      <c r="Z67">
        <f t="shared" si="7"/>
        <v>0.10443949968632374</v>
      </c>
    </row>
    <row r="68" spans="1:26">
      <c r="A68" s="2" t="s">
        <v>5</v>
      </c>
      <c r="B68" s="2" t="s">
        <v>8</v>
      </c>
      <c r="C68" s="15" t="s">
        <v>32</v>
      </c>
      <c r="D68" s="16" t="s">
        <v>116</v>
      </c>
      <c r="E68" s="15"/>
      <c r="F68" s="17">
        <v>1662.8</v>
      </c>
      <c r="G68" s="17">
        <v>351.92499999999995</v>
      </c>
      <c r="H68" s="18">
        <v>0.51</v>
      </c>
      <c r="I68" s="19">
        <v>1.26</v>
      </c>
      <c r="J68" s="19">
        <v>2</v>
      </c>
      <c r="K68" s="19">
        <v>0.81</v>
      </c>
      <c r="L68" s="20">
        <v>28</v>
      </c>
      <c r="M68" s="28">
        <v>44.544320999999997</v>
      </c>
      <c r="N68" s="28">
        <v>11.382828</v>
      </c>
      <c r="O68" s="26">
        <f>IF(COUNTA(C68:N68),IF(LEFT(E$4,1)="C",ZenithAngle(M68,N68,D68,$I$4),L68),"---")</f>
        <v>28</v>
      </c>
      <c r="P68" s="26">
        <f t="shared" ref="P68:P131" si="8">IF(O68="---","---",IF(LEFT(E$5,1)="C",beamfraction(O68,F68),K68))</f>
        <v>0.81</v>
      </c>
      <c r="Q68" s="26">
        <f t="shared" si="2"/>
        <v>0.75347665884186377</v>
      </c>
      <c r="R68" s="26">
        <f t="shared" si="3"/>
        <v>0.21164601876353137</v>
      </c>
      <c r="S68" s="27">
        <f t="shared" si="4"/>
        <v>2.1211198021822475</v>
      </c>
      <c r="T68" s="2">
        <f t="shared" si="5"/>
        <v>0.7883539812364686</v>
      </c>
      <c r="U68" s="2">
        <f t="shared" si="6"/>
        <v>21.164601876353135</v>
      </c>
      <c r="V68" s="2">
        <f t="shared" ref="V68:V131" si="9">T68+U68</f>
        <v>21.952955857589604</v>
      </c>
      <c r="W68" s="2">
        <v>0</v>
      </c>
      <c r="X68" s="2">
        <v>0</v>
      </c>
      <c r="Y68" s="2">
        <v>0</v>
      </c>
      <c r="Z68">
        <f t="shared" si="7"/>
        <v>0.19708849530911715</v>
      </c>
    </row>
    <row r="69" spans="1:26">
      <c r="A69" s="2" t="s">
        <v>5</v>
      </c>
      <c r="B69" s="2" t="s">
        <v>8</v>
      </c>
      <c r="C69" s="15" t="s">
        <v>32</v>
      </c>
      <c r="D69" s="16" t="s">
        <v>117</v>
      </c>
      <c r="E69" s="15"/>
      <c r="F69" s="17">
        <v>1409.2</v>
      </c>
      <c r="G69" s="17">
        <v>1000.05</v>
      </c>
      <c r="H69" s="18">
        <v>0.51</v>
      </c>
      <c r="I69" s="19">
        <v>1.26</v>
      </c>
      <c r="J69" s="19">
        <v>2</v>
      </c>
      <c r="K69" s="19">
        <v>0.81</v>
      </c>
      <c r="L69" s="20">
        <v>28</v>
      </c>
      <c r="M69" s="28">
        <v>44.544320999999997</v>
      </c>
      <c r="N69" s="28">
        <v>11.382828</v>
      </c>
      <c r="O69" s="26">
        <f>IF(COUNTA(C69:N69),IF(LEFT(E$4,1)="C",ZenithAngle(M69,N69,D69,$I$4),L69),"---")</f>
        <v>28</v>
      </c>
      <c r="P69" s="26">
        <f t="shared" si="8"/>
        <v>0.81</v>
      </c>
      <c r="Q69" s="26">
        <f t="shared" ref="Q69:Q132" si="10">IF(O69="---","---",SQRT(J69^2+(TAN(RADIANS(O69)))^2)/(J69+1.744*(J69+1.182)^(-0.733)))</f>
        <v>0.75347665884186377</v>
      </c>
      <c r="R69" s="26">
        <f t="shared" ref="R69:R132" si="11">IF(O69="---","---",G69/F69)</f>
        <v>0.70965796196423492</v>
      </c>
      <c r="S69" s="27">
        <f t="shared" ref="S69:S132" si="12">IF(O69="---","---",((1-1/(2*Q69))*P69-1)*LN(R69)/(0.86*(1-0.47*P69)))</f>
        <v>0.46848677341794515</v>
      </c>
      <c r="T69" s="2">
        <f t="shared" ref="T69:T132" si="13">(1-(G69/F69))</f>
        <v>0.29034203803576508</v>
      </c>
      <c r="U69" s="2">
        <f t="shared" ref="U69:U132" si="14">G69/F69*100</f>
        <v>70.965796196423497</v>
      </c>
      <c r="V69" s="2">
        <f t="shared" si="9"/>
        <v>71.256138234459257</v>
      </c>
      <c r="W69" s="2">
        <v>0</v>
      </c>
      <c r="X69" s="2">
        <v>0</v>
      </c>
      <c r="Y69" s="2">
        <v>0</v>
      </c>
      <c r="Z69">
        <f t="shared" ref="Z69:Z132" si="15">AVERAGE(T69,W69:Y69)</f>
        <v>7.2585509508941271E-2</v>
      </c>
    </row>
    <row r="70" spans="1:26">
      <c r="A70" s="2" t="s">
        <v>5</v>
      </c>
      <c r="B70" s="2" t="s">
        <v>8</v>
      </c>
      <c r="C70" s="15" t="s">
        <v>32</v>
      </c>
      <c r="D70" s="16" t="s">
        <v>118</v>
      </c>
      <c r="E70" s="15"/>
      <c r="F70" s="17">
        <v>1678.9</v>
      </c>
      <c r="G70" s="17">
        <v>928.68749999999977</v>
      </c>
      <c r="H70" s="18">
        <v>0.51</v>
      </c>
      <c r="I70" s="19">
        <v>1.26</v>
      </c>
      <c r="J70" s="19">
        <v>2</v>
      </c>
      <c r="K70" s="19">
        <v>0.81</v>
      </c>
      <c r="L70" s="20">
        <v>28</v>
      </c>
      <c r="M70" s="28">
        <v>44.544320999999997</v>
      </c>
      <c r="N70" s="28">
        <v>11.382828</v>
      </c>
      <c r="O70" s="26">
        <f>IF(COUNTA(C70:N70),IF(LEFT(E$4,1)="C",ZenithAngle(M70,N70,D70,$I$4),L70),"---")</f>
        <v>28</v>
      </c>
      <c r="P70" s="26">
        <f t="shared" si="8"/>
        <v>0.81</v>
      </c>
      <c r="Q70" s="26">
        <f t="shared" si="10"/>
        <v>0.75347665884186377</v>
      </c>
      <c r="R70" s="26">
        <f t="shared" si="11"/>
        <v>0.55315236166537596</v>
      </c>
      <c r="S70" s="27">
        <f t="shared" si="12"/>
        <v>0.80881557002795745</v>
      </c>
      <c r="T70" s="2">
        <f t="shared" si="13"/>
        <v>0.44684763833462404</v>
      </c>
      <c r="U70" s="2">
        <f t="shared" si="14"/>
        <v>55.315236166537595</v>
      </c>
      <c r="V70" s="2">
        <f t="shared" si="9"/>
        <v>55.762083804872219</v>
      </c>
      <c r="W70" s="2">
        <v>0</v>
      </c>
      <c r="X70" s="2">
        <v>0</v>
      </c>
      <c r="Y70" s="2">
        <v>0</v>
      </c>
      <c r="Z70">
        <f t="shared" si="15"/>
        <v>0.11171190958365601</v>
      </c>
    </row>
    <row r="71" spans="1:26">
      <c r="A71" s="2" t="s">
        <v>5</v>
      </c>
      <c r="B71" s="2" t="s">
        <v>8</v>
      </c>
      <c r="C71" s="15" t="s">
        <v>32</v>
      </c>
      <c r="D71" s="16" t="s">
        <v>119</v>
      </c>
      <c r="E71" s="15"/>
      <c r="F71" s="17">
        <v>1512.8</v>
      </c>
      <c r="G71" s="17">
        <v>742.65000000000009</v>
      </c>
      <c r="H71" s="18">
        <v>0.51</v>
      </c>
      <c r="I71" s="19">
        <v>1.26</v>
      </c>
      <c r="J71" s="19">
        <v>2</v>
      </c>
      <c r="K71" s="19">
        <v>0.81</v>
      </c>
      <c r="L71" s="20">
        <v>28</v>
      </c>
      <c r="M71" s="28">
        <v>44.544320999999997</v>
      </c>
      <c r="N71" s="28">
        <v>11.382828</v>
      </c>
      <c r="O71" s="26">
        <f>IF(COUNTA(C71:N71),IF(LEFT(E$4,1)="C",ZenithAngle(M71,N71,D71,$I$4),L71),"---")</f>
        <v>28</v>
      </c>
      <c r="P71" s="26">
        <f t="shared" si="8"/>
        <v>0.81</v>
      </c>
      <c r="Q71" s="26">
        <f t="shared" si="10"/>
        <v>0.75347665884186377</v>
      </c>
      <c r="R71" s="26">
        <f t="shared" si="11"/>
        <v>0.49091089370703339</v>
      </c>
      <c r="S71" s="27">
        <f t="shared" si="12"/>
        <v>0.97187155351883003</v>
      </c>
      <c r="T71" s="2">
        <f t="shared" si="13"/>
        <v>0.50908910629296655</v>
      </c>
      <c r="U71" s="2">
        <f t="shared" si="14"/>
        <v>49.091089370703337</v>
      </c>
      <c r="V71" s="2">
        <f t="shared" si="9"/>
        <v>49.600178476996305</v>
      </c>
      <c r="W71" s="2">
        <v>0</v>
      </c>
      <c r="X71" s="2">
        <v>0</v>
      </c>
      <c r="Y71" s="2">
        <v>0</v>
      </c>
      <c r="Z71">
        <f t="shared" si="15"/>
        <v>0.12727227657324164</v>
      </c>
    </row>
    <row r="72" spans="1:26">
      <c r="A72" s="2" t="s">
        <v>5</v>
      </c>
      <c r="B72" s="2" t="s">
        <v>8</v>
      </c>
      <c r="C72" s="15" t="s">
        <v>32</v>
      </c>
      <c r="D72" s="16" t="s">
        <v>120</v>
      </c>
      <c r="E72" s="15"/>
      <c r="F72" s="17">
        <v>1441</v>
      </c>
      <c r="G72" s="17">
        <v>1032.5374999999999</v>
      </c>
      <c r="H72" s="18">
        <v>0.51</v>
      </c>
      <c r="I72" s="19">
        <v>1.26</v>
      </c>
      <c r="J72" s="19">
        <v>2</v>
      </c>
      <c r="K72" s="19">
        <v>0.81</v>
      </c>
      <c r="L72" s="20">
        <v>28</v>
      </c>
      <c r="M72" s="28">
        <v>44.544320999999997</v>
      </c>
      <c r="N72" s="28">
        <v>11.382828</v>
      </c>
      <c r="O72" s="26">
        <f>IF(COUNTA(C72:N72),IF(LEFT(E$4,1)="C",ZenithAngle(M72,N72,D72,$I$4),L72),"---")</f>
        <v>28</v>
      </c>
      <c r="P72" s="26">
        <f t="shared" si="8"/>
        <v>0.81</v>
      </c>
      <c r="Q72" s="26">
        <f t="shared" si="10"/>
        <v>0.75347665884186377</v>
      </c>
      <c r="R72" s="26">
        <f t="shared" si="11"/>
        <v>0.71654233171408732</v>
      </c>
      <c r="S72" s="27">
        <f t="shared" si="12"/>
        <v>0.45529948546478038</v>
      </c>
      <c r="T72" s="2">
        <f t="shared" si="13"/>
        <v>0.28345766828591268</v>
      </c>
      <c r="U72" s="2">
        <f t="shared" si="14"/>
        <v>71.654233171408734</v>
      </c>
      <c r="V72" s="2">
        <f t="shared" si="9"/>
        <v>71.937690839694653</v>
      </c>
      <c r="W72" s="2">
        <v>0</v>
      </c>
      <c r="X72" s="2">
        <v>0</v>
      </c>
      <c r="Y72" s="2">
        <v>0</v>
      </c>
      <c r="Z72">
        <f t="shared" si="15"/>
        <v>7.086441707147817E-2</v>
      </c>
    </row>
    <row r="73" spans="1:26">
      <c r="A73" s="2" t="s">
        <v>5</v>
      </c>
      <c r="B73" s="2" t="s">
        <v>8</v>
      </c>
      <c r="C73" s="15" t="s">
        <v>32</v>
      </c>
      <c r="D73" s="16" t="s">
        <v>121</v>
      </c>
      <c r="E73" s="15"/>
      <c r="F73" s="17">
        <v>1718.2</v>
      </c>
      <c r="G73" s="17">
        <v>355.28750000000002</v>
      </c>
      <c r="H73" s="18">
        <v>0.51</v>
      </c>
      <c r="I73" s="19">
        <v>1.26</v>
      </c>
      <c r="J73" s="19">
        <v>2</v>
      </c>
      <c r="K73" s="19">
        <v>0.81</v>
      </c>
      <c r="L73" s="20">
        <v>28</v>
      </c>
      <c r="M73" s="28">
        <v>44.544320999999997</v>
      </c>
      <c r="N73" s="28">
        <v>11.382828</v>
      </c>
      <c r="O73" s="26">
        <f>IF(COUNTA(C73:N73),IF(LEFT(E$4,1)="C",ZenithAngle(M73,N73,D73,$I$4),L73),"---")</f>
        <v>28</v>
      </c>
      <c r="P73" s="26">
        <f t="shared" si="8"/>
        <v>0.81</v>
      </c>
      <c r="Q73" s="26">
        <f t="shared" si="10"/>
        <v>0.75347665884186377</v>
      </c>
      <c r="R73" s="26">
        <f t="shared" si="11"/>
        <v>0.20677889651961356</v>
      </c>
      <c r="S73" s="27">
        <f t="shared" si="12"/>
        <v>2.1528989872307367</v>
      </c>
      <c r="T73" s="2">
        <f t="shared" si="13"/>
        <v>0.79322110348038644</v>
      </c>
      <c r="U73" s="2">
        <f t="shared" si="14"/>
        <v>20.677889651961358</v>
      </c>
      <c r="V73" s="2">
        <f t="shared" si="9"/>
        <v>21.471110755441746</v>
      </c>
      <c r="W73" s="2">
        <v>0</v>
      </c>
      <c r="X73" s="2">
        <v>0</v>
      </c>
      <c r="Y73" s="2">
        <v>0</v>
      </c>
      <c r="Z73">
        <f t="shared" si="15"/>
        <v>0.19830527587009661</v>
      </c>
    </row>
    <row r="74" spans="1:26">
      <c r="A74" s="2" t="s">
        <v>5</v>
      </c>
      <c r="B74" s="2" t="s">
        <v>8</v>
      </c>
      <c r="C74" s="15" t="s">
        <v>32</v>
      </c>
      <c r="D74" s="16" t="s">
        <v>122</v>
      </c>
      <c r="E74" s="15"/>
      <c r="F74" s="17">
        <v>1669.6</v>
      </c>
      <c r="G74" s="17">
        <v>874.3</v>
      </c>
      <c r="H74" s="18">
        <v>0.51</v>
      </c>
      <c r="I74" s="19">
        <v>1.26</v>
      </c>
      <c r="J74" s="19">
        <v>2</v>
      </c>
      <c r="K74" s="19">
        <v>0.81</v>
      </c>
      <c r="L74" s="20">
        <v>28</v>
      </c>
      <c r="M74" s="28">
        <v>44.544320999999997</v>
      </c>
      <c r="N74" s="28">
        <v>11.382828</v>
      </c>
      <c r="O74" s="26">
        <f>IF(COUNTA(C74:N74),IF(LEFT(E$4,1)="C",ZenithAngle(M74,N74,D74,$I$4),L74),"---")</f>
        <v>28</v>
      </c>
      <c r="P74" s="26">
        <f t="shared" si="8"/>
        <v>0.81</v>
      </c>
      <c r="Q74" s="26">
        <f t="shared" si="10"/>
        <v>0.75347665884186377</v>
      </c>
      <c r="R74" s="26">
        <f t="shared" si="11"/>
        <v>0.52365836128413989</v>
      </c>
      <c r="S74" s="27">
        <f t="shared" si="12"/>
        <v>0.88366205354086946</v>
      </c>
      <c r="T74" s="2">
        <f t="shared" si="13"/>
        <v>0.47634163871586011</v>
      </c>
      <c r="U74" s="2">
        <f t="shared" si="14"/>
        <v>52.365836128413989</v>
      </c>
      <c r="V74" s="2">
        <f t="shared" si="9"/>
        <v>52.842177767129847</v>
      </c>
      <c r="W74" s="2">
        <v>0</v>
      </c>
      <c r="X74" s="2">
        <v>0</v>
      </c>
      <c r="Y74" s="2">
        <v>0</v>
      </c>
      <c r="Z74">
        <f t="shared" si="15"/>
        <v>0.11908540967896503</v>
      </c>
    </row>
    <row r="75" spans="1:26">
      <c r="A75" s="2" t="s">
        <v>5</v>
      </c>
      <c r="B75" s="2" t="s">
        <v>8</v>
      </c>
      <c r="C75" s="15" t="s">
        <v>32</v>
      </c>
      <c r="D75" s="16" t="s">
        <v>123</v>
      </c>
      <c r="E75" s="15"/>
      <c r="F75" s="17">
        <v>1573.8</v>
      </c>
      <c r="G75" s="17">
        <v>998.93750000000011</v>
      </c>
      <c r="H75" s="18">
        <v>0.51</v>
      </c>
      <c r="I75" s="19">
        <v>1.26</v>
      </c>
      <c r="J75" s="19">
        <v>2</v>
      </c>
      <c r="K75" s="19">
        <v>0.81</v>
      </c>
      <c r="L75" s="20">
        <v>28</v>
      </c>
      <c r="M75" s="28">
        <v>44.544320999999997</v>
      </c>
      <c r="N75" s="28">
        <v>11.382828</v>
      </c>
      <c r="O75" s="26">
        <f>IF(COUNTA(C75:N75),IF(LEFT(E$4,1)="C",ZenithAngle(M75,N75,D75,$I$4),L75),"---")</f>
        <v>28</v>
      </c>
      <c r="P75" s="26">
        <f t="shared" si="8"/>
        <v>0.81</v>
      </c>
      <c r="Q75" s="26">
        <f t="shared" si="10"/>
        <v>0.75347665884186377</v>
      </c>
      <c r="R75" s="26">
        <f t="shared" si="11"/>
        <v>0.63472963527767201</v>
      </c>
      <c r="S75" s="27">
        <f t="shared" si="12"/>
        <v>0.62090618336549741</v>
      </c>
      <c r="T75" s="2">
        <f t="shared" si="13"/>
        <v>0.36527036472232799</v>
      </c>
      <c r="U75" s="2">
        <f t="shared" si="14"/>
        <v>63.472963527767199</v>
      </c>
      <c r="V75" s="2">
        <f t="shared" si="9"/>
        <v>63.838233892489527</v>
      </c>
      <c r="W75" s="2">
        <v>0</v>
      </c>
      <c r="X75" s="2">
        <v>0</v>
      </c>
      <c r="Y75" s="2">
        <v>0</v>
      </c>
      <c r="Z75">
        <f t="shared" si="15"/>
        <v>9.1317591180581997E-2</v>
      </c>
    </row>
    <row r="76" spans="1:26">
      <c r="A76" s="2" t="s">
        <v>5</v>
      </c>
      <c r="B76" s="2" t="s">
        <v>9</v>
      </c>
      <c r="C76" s="15" t="s">
        <v>32</v>
      </c>
      <c r="D76" s="16" t="s">
        <v>124</v>
      </c>
      <c r="E76" s="15"/>
      <c r="F76" s="17">
        <v>1667.3</v>
      </c>
      <c r="G76" s="17">
        <v>600.63750000000005</v>
      </c>
      <c r="H76" s="18">
        <v>0.3</v>
      </c>
      <c r="I76" s="19">
        <v>2</v>
      </c>
      <c r="J76" s="19">
        <v>2</v>
      </c>
      <c r="K76" s="19">
        <v>0.78</v>
      </c>
      <c r="L76" s="20">
        <v>28</v>
      </c>
      <c r="M76" s="28">
        <v>44.544320999999997</v>
      </c>
      <c r="N76" s="28">
        <v>11.382828</v>
      </c>
      <c r="O76" s="26">
        <f>IF(COUNTA(C76:N76),IF(LEFT(E$4,1)="C",ZenithAngle(M76,N76,D76,$I$4),L76),"---")</f>
        <v>28</v>
      </c>
      <c r="P76" s="26">
        <f t="shared" si="8"/>
        <v>0.78</v>
      </c>
      <c r="Q76" s="26">
        <f t="shared" si="10"/>
        <v>0.75347665884186377</v>
      </c>
      <c r="R76" s="26">
        <f t="shared" si="11"/>
        <v>0.36024560666946565</v>
      </c>
      <c r="S76" s="27">
        <f t="shared" si="12"/>
        <v>1.382475461452461</v>
      </c>
      <c r="T76" s="2">
        <f t="shared" si="13"/>
        <v>0.6397543933305343</v>
      </c>
      <c r="U76" s="2">
        <f t="shared" si="14"/>
        <v>36.024560666946563</v>
      </c>
      <c r="V76" s="2">
        <f t="shared" si="9"/>
        <v>36.664315060277097</v>
      </c>
      <c r="W76" s="2">
        <v>0</v>
      </c>
      <c r="X76" s="2">
        <v>0</v>
      </c>
      <c r="Y76" s="2">
        <v>0</v>
      </c>
      <c r="Z76">
        <f t="shared" si="15"/>
        <v>0.15993859833263357</v>
      </c>
    </row>
    <row r="77" spans="1:26">
      <c r="A77" s="2" t="s">
        <v>5</v>
      </c>
      <c r="B77" s="2" t="s">
        <v>9</v>
      </c>
      <c r="C77" s="15" t="s">
        <v>32</v>
      </c>
      <c r="D77" s="16" t="s">
        <v>125</v>
      </c>
      <c r="E77" s="15"/>
      <c r="F77" s="17">
        <v>1515</v>
      </c>
      <c r="G77" s="17">
        <v>232.49999999999997</v>
      </c>
      <c r="H77" s="18">
        <v>0.3</v>
      </c>
      <c r="I77" s="19">
        <v>2</v>
      </c>
      <c r="J77" s="19">
        <v>2</v>
      </c>
      <c r="K77" s="19">
        <v>0.78</v>
      </c>
      <c r="L77" s="20">
        <v>28</v>
      </c>
      <c r="M77" s="28">
        <v>44.544320999999997</v>
      </c>
      <c r="N77" s="28">
        <v>11.382828</v>
      </c>
      <c r="O77" s="26">
        <f>IF(COUNTA(C77:N77),IF(LEFT(E$4,1)="C",ZenithAngle(M77,N77,D77,$I$4),L77),"---")</f>
        <v>28</v>
      </c>
      <c r="P77" s="26">
        <f t="shared" si="8"/>
        <v>0.78</v>
      </c>
      <c r="Q77" s="26">
        <f t="shared" si="10"/>
        <v>0.75347665884186377</v>
      </c>
      <c r="R77" s="26">
        <f t="shared" si="11"/>
        <v>0.15346534653465344</v>
      </c>
      <c r="S77" s="27">
        <f t="shared" si="12"/>
        <v>2.5379283619243624</v>
      </c>
      <c r="T77" s="2">
        <f t="shared" si="13"/>
        <v>0.84653465346534662</v>
      </c>
      <c r="U77" s="2">
        <f t="shared" si="14"/>
        <v>15.346534653465344</v>
      </c>
      <c r="V77" s="2">
        <f t="shared" si="9"/>
        <v>16.193069306930692</v>
      </c>
      <c r="W77" s="2">
        <v>0</v>
      </c>
      <c r="X77" s="2">
        <v>0</v>
      </c>
      <c r="Y77" s="2">
        <v>0</v>
      </c>
      <c r="Z77">
        <f t="shared" si="15"/>
        <v>0.21163366336633666</v>
      </c>
    </row>
    <row r="78" spans="1:26">
      <c r="A78" s="2" t="s">
        <v>5</v>
      </c>
      <c r="B78" s="2" t="s">
        <v>9</v>
      </c>
      <c r="C78" s="15" t="s">
        <v>32</v>
      </c>
      <c r="D78" s="16" t="s">
        <v>126</v>
      </c>
      <c r="E78" s="15"/>
      <c r="F78" s="17">
        <v>1478.2</v>
      </c>
      <c r="G78" s="17">
        <v>334.22499999999997</v>
      </c>
      <c r="H78" s="18">
        <v>0.3</v>
      </c>
      <c r="I78" s="19">
        <v>2</v>
      </c>
      <c r="J78" s="19">
        <v>2</v>
      </c>
      <c r="K78" s="19">
        <v>0.78</v>
      </c>
      <c r="L78" s="20">
        <v>28</v>
      </c>
      <c r="M78" s="28">
        <v>44.544320999999997</v>
      </c>
      <c r="N78" s="28">
        <v>11.382828</v>
      </c>
      <c r="O78" s="26">
        <f>IF(COUNTA(C78:N78),IF(LEFT(E$4,1)="C",ZenithAngle(M78,N78,D78,$I$4),L78),"---")</f>
        <v>28</v>
      </c>
      <c r="P78" s="26">
        <f t="shared" si="8"/>
        <v>0.78</v>
      </c>
      <c r="Q78" s="26">
        <f t="shared" si="10"/>
        <v>0.75347665884186377</v>
      </c>
      <c r="R78" s="26">
        <f t="shared" si="11"/>
        <v>0.22610269246380729</v>
      </c>
      <c r="S78" s="27">
        <f t="shared" si="12"/>
        <v>2.0132021816303132</v>
      </c>
      <c r="T78" s="2">
        <f t="shared" si="13"/>
        <v>0.77389730753619268</v>
      </c>
      <c r="U78" s="2">
        <f t="shared" si="14"/>
        <v>22.610269246380728</v>
      </c>
      <c r="V78" s="2">
        <f t="shared" si="9"/>
        <v>23.38416655391692</v>
      </c>
      <c r="W78" s="2">
        <v>0</v>
      </c>
      <c r="X78" s="2">
        <v>0</v>
      </c>
      <c r="Y78" s="2">
        <v>0</v>
      </c>
      <c r="Z78">
        <f t="shared" si="15"/>
        <v>0.19347432688404817</v>
      </c>
    </row>
    <row r="79" spans="1:26">
      <c r="A79" s="2" t="s">
        <v>5</v>
      </c>
      <c r="B79" s="2" t="s">
        <v>9</v>
      </c>
      <c r="C79" s="15" t="s">
        <v>32</v>
      </c>
      <c r="D79" s="16" t="s">
        <v>127</v>
      </c>
      <c r="E79" s="15"/>
      <c r="F79" s="17">
        <v>1639</v>
      </c>
      <c r="G79" s="17">
        <v>463.4</v>
      </c>
      <c r="H79" s="18">
        <v>0.3</v>
      </c>
      <c r="I79" s="19">
        <v>2</v>
      </c>
      <c r="J79" s="19">
        <v>2</v>
      </c>
      <c r="K79" s="19">
        <v>0.78</v>
      </c>
      <c r="L79" s="20">
        <v>28</v>
      </c>
      <c r="M79" s="28">
        <v>44.544320999999997</v>
      </c>
      <c r="N79" s="28">
        <v>11.382828</v>
      </c>
      <c r="O79" s="26">
        <f>IF(COUNTA(C79:N79),IF(LEFT(E$4,1)="C",ZenithAngle(M79,N79,D79,$I$4),L79),"---")</f>
        <v>28</v>
      </c>
      <c r="P79" s="26">
        <f t="shared" si="8"/>
        <v>0.78</v>
      </c>
      <c r="Q79" s="26">
        <f t="shared" si="10"/>
        <v>0.75347665884186377</v>
      </c>
      <c r="R79" s="26">
        <f t="shared" si="11"/>
        <v>0.28273337400854176</v>
      </c>
      <c r="S79" s="27">
        <f t="shared" si="12"/>
        <v>1.7105446430506581</v>
      </c>
      <c r="T79" s="2">
        <f t="shared" si="13"/>
        <v>0.71726662599145818</v>
      </c>
      <c r="U79" s="2">
        <f t="shared" si="14"/>
        <v>28.273337400854174</v>
      </c>
      <c r="V79" s="2">
        <f t="shared" si="9"/>
        <v>28.990604026845631</v>
      </c>
      <c r="W79" s="2">
        <v>0</v>
      </c>
      <c r="X79" s="2">
        <v>0</v>
      </c>
      <c r="Y79" s="2">
        <v>0</v>
      </c>
      <c r="Z79">
        <f t="shared" si="15"/>
        <v>0.17931665649786455</v>
      </c>
    </row>
    <row r="80" spans="1:26">
      <c r="A80" s="2" t="s">
        <v>5</v>
      </c>
      <c r="B80" s="2" t="s">
        <v>9</v>
      </c>
      <c r="C80" s="15" t="s">
        <v>32</v>
      </c>
      <c r="D80" s="16" t="s">
        <v>128</v>
      </c>
      <c r="E80" s="15"/>
      <c r="F80" s="17">
        <v>1516.5</v>
      </c>
      <c r="G80" s="17">
        <v>468.1875</v>
      </c>
      <c r="H80" s="18">
        <v>0.3</v>
      </c>
      <c r="I80" s="19">
        <v>2</v>
      </c>
      <c r="J80" s="19">
        <v>2</v>
      </c>
      <c r="K80" s="19">
        <v>0.78</v>
      </c>
      <c r="L80" s="20">
        <v>28</v>
      </c>
      <c r="M80" s="28">
        <v>44.544320999999997</v>
      </c>
      <c r="N80" s="28">
        <v>11.382828</v>
      </c>
      <c r="O80" s="26">
        <f>IF(COUNTA(C80:N80),IF(LEFT(E$4,1)="C",ZenithAngle(M80,N80,D80,$I$4),L80),"---")</f>
        <v>28</v>
      </c>
      <c r="P80" s="26">
        <f t="shared" si="8"/>
        <v>0.78</v>
      </c>
      <c r="Q80" s="26">
        <f t="shared" si="10"/>
        <v>0.75347665884186377</v>
      </c>
      <c r="R80" s="26">
        <f t="shared" si="11"/>
        <v>0.30872898120672604</v>
      </c>
      <c r="S80" s="27">
        <f t="shared" si="12"/>
        <v>1.5914403247442048</v>
      </c>
      <c r="T80" s="2">
        <f t="shared" si="13"/>
        <v>0.69127101879327402</v>
      </c>
      <c r="U80" s="2">
        <f t="shared" si="14"/>
        <v>30.872898120672605</v>
      </c>
      <c r="V80" s="2">
        <f t="shared" si="9"/>
        <v>31.564169139465879</v>
      </c>
      <c r="W80" s="2">
        <v>0</v>
      </c>
      <c r="X80" s="2">
        <v>0</v>
      </c>
      <c r="Y80" s="2">
        <v>0</v>
      </c>
      <c r="Z80">
        <f t="shared" si="15"/>
        <v>0.1728177546983185</v>
      </c>
    </row>
    <row r="81" spans="1:26">
      <c r="A81" s="2" t="s">
        <v>5</v>
      </c>
      <c r="B81" s="2" t="s">
        <v>9</v>
      </c>
      <c r="C81" s="15" t="s">
        <v>32</v>
      </c>
      <c r="D81" s="16" t="s">
        <v>129</v>
      </c>
      <c r="E81" s="15"/>
      <c r="F81" s="17">
        <v>1481</v>
      </c>
      <c r="G81" s="17">
        <v>831.85</v>
      </c>
      <c r="H81" s="18">
        <v>0.3</v>
      </c>
      <c r="I81" s="19">
        <v>2</v>
      </c>
      <c r="J81" s="19">
        <v>2</v>
      </c>
      <c r="K81" s="19">
        <v>0.78</v>
      </c>
      <c r="L81" s="20">
        <v>28</v>
      </c>
      <c r="M81" s="28">
        <v>44.544320999999997</v>
      </c>
      <c r="N81" s="28">
        <v>11.382828</v>
      </c>
      <c r="O81" s="26">
        <f>IF(COUNTA(C81:N81),IF(LEFT(E$4,1)="C",ZenithAngle(M81,N81,D81,$I$4),L81),"---")</f>
        <v>28</v>
      </c>
      <c r="P81" s="26">
        <f t="shared" si="8"/>
        <v>0.78</v>
      </c>
      <c r="Q81" s="26">
        <f t="shared" si="10"/>
        <v>0.75347665884186377</v>
      </c>
      <c r="R81" s="26">
        <f t="shared" si="11"/>
        <v>0.56168129642133691</v>
      </c>
      <c r="S81" s="27">
        <f t="shared" si="12"/>
        <v>0.78106215392247957</v>
      </c>
      <c r="T81" s="2">
        <f t="shared" si="13"/>
        <v>0.43831870357866309</v>
      </c>
      <c r="U81" s="2">
        <f t="shared" si="14"/>
        <v>56.168129642133692</v>
      </c>
      <c r="V81" s="2">
        <f t="shared" si="9"/>
        <v>56.606448345712359</v>
      </c>
      <c r="W81" s="2">
        <v>0</v>
      </c>
      <c r="X81" s="2">
        <v>0</v>
      </c>
      <c r="Y81" s="2">
        <v>0</v>
      </c>
      <c r="Z81">
        <f t="shared" si="15"/>
        <v>0.10957967589466577</v>
      </c>
    </row>
    <row r="82" spans="1:26">
      <c r="A82" s="2" t="s">
        <v>5</v>
      </c>
      <c r="B82" s="2" t="s">
        <v>9</v>
      </c>
      <c r="C82" s="15" t="s">
        <v>32</v>
      </c>
      <c r="D82" s="16" t="s">
        <v>130</v>
      </c>
      <c r="E82" s="15"/>
      <c r="F82" s="17">
        <v>1678.8</v>
      </c>
      <c r="G82" s="17">
        <v>585.83749999999998</v>
      </c>
      <c r="H82" s="18">
        <v>0.3</v>
      </c>
      <c r="I82" s="19">
        <v>2</v>
      </c>
      <c r="J82" s="19">
        <v>2</v>
      </c>
      <c r="K82" s="19">
        <v>0.78</v>
      </c>
      <c r="L82" s="20">
        <v>28</v>
      </c>
      <c r="M82" s="28">
        <v>44.544320999999997</v>
      </c>
      <c r="N82" s="28">
        <v>11.382828</v>
      </c>
      <c r="O82" s="26">
        <f>IF(COUNTA(C82:N82),IF(LEFT(E$4,1)="C",ZenithAngle(M82,N82,D82,$I$4),L82),"---")</f>
        <v>28</v>
      </c>
      <c r="P82" s="26">
        <f t="shared" si="8"/>
        <v>0.78</v>
      </c>
      <c r="Q82" s="26">
        <f t="shared" si="10"/>
        <v>0.75347665884186377</v>
      </c>
      <c r="R82" s="26">
        <f t="shared" si="11"/>
        <v>0.34896205623064092</v>
      </c>
      <c r="S82" s="27">
        <f t="shared" si="12"/>
        <v>1.4255661836776314</v>
      </c>
      <c r="T82" s="2">
        <f t="shared" si="13"/>
        <v>0.65103794376935908</v>
      </c>
      <c r="U82" s="2">
        <f t="shared" si="14"/>
        <v>34.896205623064091</v>
      </c>
      <c r="V82" s="2">
        <f t="shared" si="9"/>
        <v>35.547243566833451</v>
      </c>
      <c r="W82" s="2">
        <v>0</v>
      </c>
      <c r="X82" s="2">
        <v>0</v>
      </c>
      <c r="Y82" s="2">
        <v>0</v>
      </c>
      <c r="Z82">
        <f t="shared" si="15"/>
        <v>0.16275948594233977</v>
      </c>
    </row>
    <row r="83" spans="1:26">
      <c r="A83" s="2" t="s">
        <v>5</v>
      </c>
      <c r="B83" s="2" t="s">
        <v>9</v>
      </c>
      <c r="C83" s="15" t="s">
        <v>32</v>
      </c>
      <c r="D83" s="16" t="s">
        <v>131</v>
      </c>
      <c r="E83" s="15"/>
      <c r="F83" s="17">
        <v>1428.5</v>
      </c>
      <c r="G83" s="17">
        <v>421.85</v>
      </c>
      <c r="H83" s="18">
        <v>0.3</v>
      </c>
      <c r="I83" s="19">
        <v>2</v>
      </c>
      <c r="J83" s="19">
        <v>2</v>
      </c>
      <c r="K83" s="19">
        <v>0.78</v>
      </c>
      <c r="L83" s="20">
        <v>28</v>
      </c>
      <c r="M83" s="28">
        <v>44.544320999999997</v>
      </c>
      <c r="N83" s="28">
        <v>11.382828</v>
      </c>
      <c r="O83" s="26">
        <f>IF(COUNTA(C83:N83),IF(LEFT(E$4,1)="C",ZenithAngle(M83,N83,D83,$I$4),L83),"---")</f>
        <v>28</v>
      </c>
      <c r="P83" s="26">
        <f t="shared" si="8"/>
        <v>0.78</v>
      </c>
      <c r="Q83" s="26">
        <f t="shared" si="10"/>
        <v>0.75347665884186377</v>
      </c>
      <c r="R83" s="26">
        <f t="shared" si="11"/>
        <v>0.29530976548827442</v>
      </c>
      <c r="S83" s="27">
        <f t="shared" si="12"/>
        <v>1.6516142814311978</v>
      </c>
      <c r="T83" s="2">
        <f t="shared" si="13"/>
        <v>0.70469023451172563</v>
      </c>
      <c r="U83" s="2">
        <f t="shared" si="14"/>
        <v>29.530976548827443</v>
      </c>
      <c r="V83" s="2">
        <f t="shared" si="9"/>
        <v>30.23566678333917</v>
      </c>
      <c r="W83" s="2">
        <v>0</v>
      </c>
      <c r="X83" s="2">
        <v>0</v>
      </c>
      <c r="Y83" s="2">
        <v>0</v>
      </c>
      <c r="Z83">
        <f t="shared" si="15"/>
        <v>0.17617255862793141</v>
      </c>
    </row>
    <row r="84" spans="1:26">
      <c r="A84" s="2" t="s">
        <v>5</v>
      </c>
      <c r="B84" s="2" t="s">
        <v>9</v>
      </c>
      <c r="C84" s="15" t="s">
        <v>32</v>
      </c>
      <c r="D84" s="16" t="s">
        <v>132</v>
      </c>
      <c r="E84" s="15"/>
      <c r="F84" s="17">
        <v>1739.2</v>
      </c>
      <c r="G84" s="17">
        <v>303.92500000000001</v>
      </c>
      <c r="H84" s="18">
        <v>0.3</v>
      </c>
      <c r="I84" s="19">
        <v>2</v>
      </c>
      <c r="J84" s="19">
        <v>2</v>
      </c>
      <c r="K84" s="19">
        <v>0.78</v>
      </c>
      <c r="L84" s="20">
        <v>28</v>
      </c>
      <c r="M84" s="28">
        <v>44.544320999999997</v>
      </c>
      <c r="N84" s="28">
        <v>11.382828</v>
      </c>
      <c r="O84" s="26">
        <f>IF(COUNTA(C84:N84),IF(LEFT(E$4,1)="C",ZenithAngle(M84,N84,D84,$I$4),L84),"---")</f>
        <v>28</v>
      </c>
      <c r="P84" s="26">
        <f t="shared" si="8"/>
        <v>0.78</v>
      </c>
      <c r="Q84" s="26">
        <f t="shared" si="10"/>
        <v>0.75347665884186377</v>
      </c>
      <c r="R84" s="26">
        <f t="shared" si="11"/>
        <v>0.17474988500459981</v>
      </c>
      <c r="S84" s="27">
        <f t="shared" si="12"/>
        <v>2.3620590003701309</v>
      </c>
      <c r="T84" s="2">
        <f t="shared" si="13"/>
        <v>0.82525011499540013</v>
      </c>
      <c r="U84" s="2">
        <f t="shared" si="14"/>
        <v>17.474988500459983</v>
      </c>
      <c r="V84" s="2">
        <f t="shared" si="9"/>
        <v>18.300238615455381</v>
      </c>
      <c r="W84" s="2">
        <v>0</v>
      </c>
      <c r="X84" s="2">
        <v>0</v>
      </c>
      <c r="Y84" s="2">
        <v>0</v>
      </c>
      <c r="Z84">
        <f t="shared" si="15"/>
        <v>0.20631252874885003</v>
      </c>
    </row>
    <row r="85" spans="1:26">
      <c r="A85" s="2" t="s">
        <v>5</v>
      </c>
      <c r="B85" s="2" t="s">
        <v>9</v>
      </c>
      <c r="C85" s="15" t="s">
        <v>32</v>
      </c>
      <c r="D85" s="16" t="s">
        <v>133</v>
      </c>
      <c r="E85" s="15"/>
      <c r="F85" s="17">
        <v>1714.8</v>
      </c>
      <c r="G85" s="17">
        <v>319.01249999999999</v>
      </c>
      <c r="H85" s="18">
        <v>0.3</v>
      </c>
      <c r="I85" s="19">
        <v>2</v>
      </c>
      <c r="J85" s="19">
        <v>2</v>
      </c>
      <c r="K85" s="19">
        <v>0.78</v>
      </c>
      <c r="L85" s="20">
        <v>28</v>
      </c>
      <c r="M85" s="28">
        <v>44.544320999999997</v>
      </c>
      <c r="N85" s="28">
        <v>11.382828</v>
      </c>
      <c r="O85" s="26">
        <f>IF(COUNTA(C85:N85),IF(LEFT(E$4,1)="C",ZenithAngle(M85,N85,D85,$I$4),L85),"---")</f>
        <v>28</v>
      </c>
      <c r="P85" s="26">
        <f t="shared" si="8"/>
        <v>0.78</v>
      </c>
      <c r="Q85" s="26">
        <f t="shared" si="10"/>
        <v>0.75347665884186377</v>
      </c>
      <c r="R85" s="26">
        <f t="shared" si="11"/>
        <v>0.18603481455563331</v>
      </c>
      <c r="S85" s="27">
        <f t="shared" si="12"/>
        <v>2.2773231477781768</v>
      </c>
      <c r="T85" s="2">
        <f t="shared" si="13"/>
        <v>0.81396518544436669</v>
      </c>
      <c r="U85" s="2">
        <f t="shared" si="14"/>
        <v>18.60348145556333</v>
      </c>
      <c r="V85" s="2">
        <f t="shared" si="9"/>
        <v>19.417446641007697</v>
      </c>
      <c r="W85" s="2">
        <v>0</v>
      </c>
      <c r="X85" s="2">
        <v>0</v>
      </c>
      <c r="Y85" s="2">
        <v>0</v>
      </c>
      <c r="Z85">
        <f t="shared" si="15"/>
        <v>0.20349129636109167</v>
      </c>
    </row>
    <row r="86" spans="1:26">
      <c r="A86" s="2" t="s">
        <v>5</v>
      </c>
      <c r="B86" s="2" t="s">
        <v>9</v>
      </c>
      <c r="C86" s="15" t="s">
        <v>32</v>
      </c>
      <c r="D86" s="16" t="s">
        <v>134</v>
      </c>
      <c r="E86" s="15"/>
      <c r="F86" s="17">
        <v>1495.4</v>
      </c>
      <c r="G86" s="17">
        <v>609.72500000000002</v>
      </c>
      <c r="H86" s="18">
        <v>0.3</v>
      </c>
      <c r="I86" s="19">
        <v>2</v>
      </c>
      <c r="J86" s="19">
        <v>2</v>
      </c>
      <c r="K86" s="19">
        <v>0.78</v>
      </c>
      <c r="L86" s="20">
        <v>28</v>
      </c>
      <c r="M86" s="28">
        <v>44.544320999999997</v>
      </c>
      <c r="N86" s="28">
        <v>11.382828</v>
      </c>
      <c r="O86" s="26">
        <f>IF(COUNTA(C86:N86),IF(LEFT(E$4,1)="C",ZenithAngle(M86,N86,D86,$I$4),L86),"---")</f>
        <v>28</v>
      </c>
      <c r="P86" s="26">
        <f t="shared" si="8"/>
        <v>0.78</v>
      </c>
      <c r="Q86" s="26">
        <f t="shared" si="10"/>
        <v>0.75347665884186377</v>
      </c>
      <c r="R86" s="26">
        <f t="shared" si="11"/>
        <v>0.40773371673130931</v>
      </c>
      <c r="S86" s="27">
        <f t="shared" si="12"/>
        <v>1.2148019082079338</v>
      </c>
      <c r="T86" s="2">
        <f t="shared" si="13"/>
        <v>0.59226628326869069</v>
      </c>
      <c r="U86" s="2">
        <f t="shared" si="14"/>
        <v>40.773371673130931</v>
      </c>
      <c r="V86" s="2">
        <f t="shared" si="9"/>
        <v>41.365637956399624</v>
      </c>
      <c r="W86" s="2">
        <v>0</v>
      </c>
      <c r="X86" s="2">
        <v>0</v>
      </c>
      <c r="Y86" s="2">
        <v>0</v>
      </c>
      <c r="Z86">
        <f t="shared" si="15"/>
        <v>0.14806657081717267</v>
      </c>
    </row>
    <row r="87" spans="1:26">
      <c r="A87" s="2" t="s">
        <v>5</v>
      </c>
      <c r="B87" s="2" t="s">
        <v>10</v>
      </c>
      <c r="C87" s="15" t="s">
        <v>32</v>
      </c>
      <c r="D87" s="16" t="s">
        <v>135</v>
      </c>
      <c r="E87" s="15"/>
      <c r="F87" s="17">
        <v>1430.8</v>
      </c>
      <c r="G87" s="17">
        <v>443.80000000000007</v>
      </c>
      <c r="H87" s="18">
        <v>0.41299999999999998</v>
      </c>
      <c r="I87" s="19">
        <v>1.54</v>
      </c>
      <c r="J87" s="19">
        <v>2</v>
      </c>
      <c r="K87" s="19">
        <v>0.77</v>
      </c>
      <c r="L87" s="20">
        <v>28</v>
      </c>
      <c r="M87" s="28">
        <v>44.544320999999997</v>
      </c>
      <c r="N87" s="28">
        <v>11.382828</v>
      </c>
      <c r="O87" s="26">
        <f>IF(COUNTA(C87:N87),IF(LEFT(E$4,1)="C",ZenithAngle(M87,N87,D87,$I$4),L87),"---")</f>
        <v>28</v>
      </c>
      <c r="P87" s="26">
        <f t="shared" si="8"/>
        <v>0.77</v>
      </c>
      <c r="Q87" s="26">
        <f t="shared" si="10"/>
        <v>0.75347665884186377</v>
      </c>
      <c r="R87" s="26">
        <f t="shared" si="11"/>
        <v>0.31017612524461846</v>
      </c>
      <c r="S87" s="27">
        <f t="shared" si="12"/>
        <v>1.5806089096514035</v>
      </c>
      <c r="T87" s="2">
        <f t="shared" si="13"/>
        <v>0.68982387475538154</v>
      </c>
      <c r="U87" s="2">
        <f t="shared" si="14"/>
        <v>31.017612524461846</v>
      </c>
      <c r="V87" s="2">
        <f t="shared" si="9"/>
        <v>31.707436399217229</v>
      </c>
      <c r="W87" s="2">
        <v>0</v>
      </c>
      <c r="X87" s="2">
        <v>0</v>
      </c>
      <c r="Y87" s="2">
        <v>0</v>
      </c>
      <c r="Z87">
        <f t="shared" si="15"/>
        <v>0.17245596868884538</v>
      </c>
    </row>
    <row r="88" spans="1:26">
      <c r="A88" s="2" t="s">
        <v>5</v>
      </c>
      <c r="B88" s="2" t="s">
        <v>10</v>
      </c>
      <c r="C88" s="15" t="s">
        <v>32</v>
      </c>
      <c r="D88" s="16" t="s">
        <v>136</v>
      </c>
      <c r="E88" s="15"/>
      <c r="F88" s="17">
        <v>1378</v>
      </c>
      <c r="G88" s="17">
        <v>491.57500000000005</v>
      </c>
      <c r="H88" s="18">
        <v>0.41299999999999998</v>
      </c>
      <c r="I88" s="19">
        <v>1.54</v>
      </c>
      <c r="J88" s="19">
        <v>2</v>
      </c>
      <c r="K88" s="19">
        <v>0.77</v>
      </c>
      <c r="L88" s="20">
        <v>28</v>
      </c>
      <c r="M88" s="28">
        <v>44.544320999999997</v>
      </c>
      <c r="N88" s="28">
        <v>11.382828</v>
      </c>
      <c r="O88" s="26">
        <f>IF(COUNTA(C88:N88),IF(LEFT(E$4,1)="C",ZenithAngle(M88,N88,D88,$I$4),L88),"---")</f>
        <v>28</v>
      </c>
      <c r="P88" s="26">
        <f t="shared" si="8"/>
        <v>0.77</v>
      </c>
      <c r="Q88" s="26">
        <f t="shared" si="10"/>
        <v>0.75347665884186377</v>
      </c>
      <c r="R88" s="26">
        <f t="shared" si="11"/>
        <v>0.35673076923076924</v>
      </c>
      <c r="S88" s="27">
        <f t="shared" si="12"/>
        <v>1.3917901796763577</v>
      </c>
      <c r="T88" s="2">
        <f t="shared" si="13"/>
        <v>0.6432692307692307</v>
      </c>
      <c r="U88" s="2">
        <f t="shared" si="14"/>
        <v>35.673076923076927</v>
      </c>
      <c r="V88" s="2">
        <f t="shared" si="9"/>
        <v>36.316346153846155</v>
      </c>
      <c r="W88" s="2">
        <v>0</v>
      </c>
      <c r="X88" s="2">
        <v>0</v>
      </c>
      <c r="Y88" s="2">
        <v>0</v>
      </c>
      <c r="Z88">
        <f t="shared" si="15"/>
        <v>0.16081730769230768</v>
      </c>
    </row>
    <row r="89" spans="1:26">
      <c r="A89" s="2" t="s">
        <v>5</v>
      </c>
      <c r="B89" s="2" t="s">
        <v>10</v>
      </c>
      <c r="C89" s="15" t="s">
        <v>32</v>
      </c>
      <c r="D89" s="16" t="s">
        <v>137</v>
      </c>
      <c r="E89" s="15"/>
      <c r="F89" s="17">
        <v>1509.1</v>
      </c>
      <c r="G89" s="17">
        <v>468.07499999999993</v>
      </c>
      <c r="H89" s="18">
        <v>0.41299999999999998</v>
      </c>
      <c r="I89" s="19">
        <v>1.54</v>
      </c>
      <c r="J89" s="19">
        <v>2</v>
      </c>
      <c r="K89" s="19">
        <v>0.77</v>
      </c>
      <c r="L89" s="20">
        <v>28</v>
      </c>
      <c r="M89" s="28">
        <v>44.544320999999997</v>
      </c>
      <c r="N89" s="28">
        <v>11.382828</v>
      </c>
      <c r="O89" s="26">
        <f>IF(COUNTA(C89:N89),IF(LEFT(E$4,1)="C",ZenithAngle(M89,N89,D89,$I$4),L89),"---")</f>
        <v>28</v>
      </c>
      <c r="P89" s="26">
        <f t="shared" si="8"/>
        <v>0.77</v>
      </c>
      <c r="Q89" s="26">
        <f t="shared" si="10"/>
        <v>0.75347665884186377</v>
      </c>
      <c r="R89" s="26">
        <f t="shared" si="11"/>
        <v>0.31016831223908287</v>
      </c>
      <c r="S89" s="27">
        <f t="shared" si="12"/>
        <v>1.5806429211350737</v>
      </c>
      <c r="T89" s="2">
        <f t="shared" si="13"/>
        <v>0.68983168776091719</v>
      </c>
      <c r="U89" s="2">
        <f t="shared" si="14"/>
        <v>31.016831223908287</v>
      </c>
      <c r="V89" s="2">
        <f t="shared" si="9"/>
        <v>31.706662911669206</v>
      </c>
      <c r="W89" s="2">
        <v>0</v>
      </c>
      <c r="X89" s="2">
        <v>0</v>
      </c>
      <c r="Y89" s="2">
        <v>0</v>
      </c>
      <c r="Z89">
        <f t="shared" si="15"/>
        <v>0.1724579219402293</v>
      </c>
    </row>
    <row r="90" spans="1:26">
      <c r="A90" s="2" t="s">
        <v>5</v>
      </c>
      <c r="B90" s="2" t="s">
        <v>10</v>
      </c>
      <c r="C90" s="15" t="s">
        <v>32</v>
      </c>
      <c r="D90" s="16" t="s">
        <v>138</v>
      </c>
      <c r="E90" s="15"/>
      <c r="F90" s="17">
        <v>1382.8</v>
      </c>
      <c r="G90" s="17">
        <v>472.83750000000003</v>
      </c>
      <c r="H90" s="18">
        <v>0.41299999999999998</v>
      </c>
      <c r="I90" s="19">
        <v>1.54</v>
      </c>
      <c r="J90" s="19">
        <v>2</v>
      </c>
      <c r="K90" s="19">
        <v>0.77</v>
      </c>
      <c r="L90" s="20">
        <v>28</v>
      </c>
      <c r="M90" s="28">
        <v>44.544320999999997</v>
      </c>
      <c r="N90" s="28">
        <v>11.382828</v>
      </c>
      <c r="O90" s="26">
        <f>IF(COUNTA(C90:N90),IF(LEFT(E$4,1)="C",ZenithAngle(M90,N90,D90,$I$4),L90),"---")</f>
        <v>28</v>
      </c>
      <c r="P90" s="26">
        <f t="shared" si="8"/>
        <v>0.77</v>
      </c>
      <c r="Q90" s="26">
        <f t="shared" si="10"/>
        <v>0.75347665884186377</v>
      </c>
      <c r="R90" s="26">
        <f t="shared" si="11"/>
        <v>0.34194207405264682</v>
      </c>
      <c r="S90" s="27">
        <f t="shared" si="12"/>
        <v>1.4489592598259995</v>
      </c>
      <c r="T90" s="2">
        <f t="shared" si="13"/>
        <v>0.65805792594735313</v>
      </c>
      <c r="U90" s="2">
        <f t="shared" si="14"/>
        <v>34.194207405264684</v>
      </c>
      <c r="V90" s="2">
        <f t="shared" si="9"/>
        <v>34.852265331212038</v>
      </c>
      <c r="W90" s="2">
        <v>0</v>
      </c>
      <c r="X90" s="2">
        <v>0</v>
      </c>
      <c r="Y90" s="2">
        <v>0</v>
      </c>
      <c r="Z90">
        <f t="shared" si="15"/>
        <v>0.16451448148683828</v>
      </c>
    </row>
    <row r="91" spans="1:26">
      <c r="A91" s="2" t="s">
        <v>5</v>
      </c>
      <c r="B91" s="2" t="s">
        <v>10</v>
      </c>
      <c r="C91" s="15" t="s">
        <v>32</v>
      </c>
      <c r="D91" s="16" t="s">
        <v>139</v>
      </c>
      <c r="E91" s="15"/>
      <c r="F91" s="17">
        <v>1684.7</v>
      </c>
      <c r="G91" s="17">
        <v>681.01249999999993</v>
      </c>
      <c r="H91" s="18">
        <v>0.41299999999999998</v>
      </c>
      <c r="I91" s="19">
        <v>1.54</v>
      </c>
      <c r="J91" s="19">
        <v>2</v>
      </c>
      <c r="K91" s="19">
        <v>0.77</v>
      </c>
      <c r="L91" s="20">
        <v>28</v>
      </c>
      <c r="M91" s="28">
        <v>44.544320999999997</v>
      </c>
      <c r="N91" s="28">
        <v>11.382828</v>
      </c>
      <c r="O91" s="26">
        <f>IF(COUNTA(C91:N91),IF(LEFT(E$4,1)="C",ZenithAngle(M91,N91,D91,$I$4),L91),"---")</f>
        <v>28</v>
      </c>
      <c r="P91" s="26">
        <f t="shared" si="8"/>
        <v>0.77</v>
      </c>
      <c r="Q91" s="26">
        <f t="shared" si="10"/>
        <v>0.75347665884186377</v>
      </c>
      <c r="R91" s="26">
        <f t="shared" si="11"/>
        <v>0.40423369145841986</v>
      </c>
      <c r="S91" s="27">
        <f t="shared" si="12"/>
        <v>1.2229944833342128</v>
      </c>
      <c r="T91" s="2">
        <f t="shared" si="13"/>
        <v>0.59576630854158008</v>
      </c>
      <c r="U91" s="2">
        <f t="shared" si="14"/>
        <v>40.423369145841988</v>
      </c>
      <c r="V91" s="2">
        <f t="shared" si="9"/>
        <v>41.019135454383566</v>
      </c>
      <c r="W91" s="2">
        <v>0</v>
      </c>
      <c r="X91" s="2">
        <v>0</v>
      </c>
      <c r="Y91" s="2">
        <v>0</v>
      </c>
      <c r="Z91">
        <f t="shared" si="15"/>
        <v>0.14894157713539502</v>
      </c>
    </row>
    <row r="92" spans="1:26">
      <c r="A92" s="2" t="s">
        <v>5</v>
      </c>
      <c r="B92" s="2" t="s">
        <v>10</v>
      </c>
      <c r="C92" s="15" t="s">
        <v>32</v>
      </c>
      <c r="D92" s="16" t="s">
        <v>140</v>
      </c>
      <c r="E92" s="15"/>
      <c r="F92" s="17">
        <v>1582.7</v>
      </c>
      <c r="G92" s="17">
        <v>810.75</v>
      </c>
      <c r="H92" s="18">
        <v>0.41299999999999998</v>
      </c>
      <c r="I92" s="19">
        <v>1.54</v>
      </c>
      <c r="J92" s="19">
        <v>2</v>
      </c>
      <c r="K92" s="19">
        <v>0.77</v>
      </c>
      <c r="L92" s="20">
        <v>28</v>
      </c>
      <c r="M92" s="28">
        <v>44.544320999999997</v>
      </c>
      <c r="N92" s="28">
        <v>11.382828</v>
      </c>
      <c r="O92" s="26">
        <f>IF(COUNTA(C92:N92),IF(LEFT(E$4,1)="C",ZenithAngle(M92,N92,D92,$I$4),L92),"---")</f>
        <v>28</v>
      </c>
      <c r="P92" s="26">
        <f t="shared" si="8"/>
        <v>0.77</v>
      </c>
      <c r="Q92" s="26">
        <f t="shared" si="10"/>
        <v>0.75347665884186377</v>
      </c>
      <c r="R92" s="26">
        <f t="shared" si="11"/>
        <v>0.51225753459278445</v>
      </c>
      <c r="S92" s="27">
        <f t="shared" si="12"/>
        <v>0.90321174491645972</v>
      </c>
      <c r="T92" s="2">
        <f t="shared" si="13"/>
        <v>0.48774246540721555</v>
      </c>
      <c r="U92" s="2">
        <f t="shared" si="14"/>
        <v>51.225753459278444</v>
      </c>
      <c r="V92" s="2">
        <f t="shared" si="9"/>
        <v>51.71349592468566</v>
      </c>
      <c r="W92" s="2">
        <v>0</v>
      </c>
      <c r="X92" s="2">
        <v>0</v>
      </c>
      <c r="Y92" s="2">
        <v>0</v>
      </c>
      <c r="Z92">
        <f t="shared" si="15"/>
        <v>0.12193561635180389</v>
      </c>
    </row>
    <row r="93" spans="1:26">
      <c r="A93" s="2" t="s">
        <v>5</v>
      </c>
      <c r="B93" s="2" t="s">
        <v>10</v>
      </c>
      <c r="C93" s="15" t="s">
        <v>32</v>
      </c>
      <c r="D93" s="16" t="s">
        <v>141</v>
      </c>
      <c r="E93" s="15"/>
      <c r="F93" s="17">
        <v>1729.4</v>
      </c>
      <c r="G93" s="17">
        <v>785.0625</v>
      </c>
      <c r="H93" s="18">
        <v>0.41299999999999998</v>
      </c>
      <c r="I93" s="19">
        <v>1.54</v>
      </c>
      <c r="J93" s="19">
        <v>2</v>
      </c>
      <c r="K93" s="19">
        <v>0.77</v>
      </c>
      <c r="L93" s="20">
        <v>28</v>
      </c>
      <c r="M93" s="28">
        <v>44.544320999999997</v>
      </c>
      <c r="N93" s="28">
        <v>11.382828</v>
      </c>
      <c r="O93" s="26">
        <f>IF(COUNTA(C93:N93),IF(LEFT(E$4,1)="C",ZenithAngle(M93,N93,D93,$I$4),L93),"---")</f>
        <v>28</v>
      </c>
      <c r="P93" s="26">
        <f t="shared" si="8"/>
        <v>0.77</v>
      </c>
      <c r="Q93" s="26">
        <f t="shared" si="10"/>
        <v>0.75347665884186377</v>
      </c>
      <c r="R93" s="26">
        <f t="shared" si="11"/>
        <v>0.4539507921822597</v>
      </c>
      <c r="S93" s="27">
        <f t="shared" si="12"/>
        <v>1.0663727432104568</v>
      </c>
      <c r="T93" s="2">
        <f t="shared" si="13"/>
        <v>0.54604920781774036</v>
      </c>
      <c r="U93" s="2">
        <f t="shared" si="14"/>
        <v>45.395079218225973</v>
      </c>
      <c r="V93" s="2">
        <f t="shared" si="9"/>
        <v>45.941128426043711</v>
      </c>
      <c r="W93" s="2">
        <v>0</v>
      </c>
      <c r="X93" s="2">
        <v>0</v>
      </c>
      <c r="Y93" s="2">
        <v>0</v>
      </c>
      <c r="Z93">
        <f t="shared" si="15"/>
        <v>0.13651230195443509</v>
      </c>
    </row>
    <row r="94" spans="1:26">
      <c r="A94" s="2" t="s">
        <v>5</v>
      </c>
      <c r="B94" s="2" t="s">
        <v>10</v>
      </c>
      <c r="C94" s="15" t="s">
        <v>32</v>
      </c>
      <c r="D94" s="16" t="s">
        <v>142</v>
      </c>
      <c r="E94" s="15"/>
      <c r="F94" s="17">
        <v>1708</v>
      </c>
      <c r="G94" s="17">
        <v>491.91250000000002</v>
      </c>
      <c r="H94" s="18">
        <v>0.41299999999999998</v>
      </c>
      <c r="I94" s="19">
        <v>1.54</v>
      </c>
      <c r="J94" s="19">
        <v>2</v>
      </c>
      <c r="K94" s="19">
        <v>0.77</v>
      </c>
      <c r="L94" s="20">
        <v>28</v>
      </c>
      <c r="M94" s="28">
        <v>44.544320999999997</v>
      </c>
      <c r="N94" s="28">
        <v>11.382828</v>
      </c>
      <c r="O94" s="26">
        <f>IF(COUNTA(C94:N94),IF(LEFT(E$4,1)="C",ZenithAngle(M94,N94,D94,$I$4),L94),"---")</f>
        <v>28</v>
      </c>
      <c r="P94" s="26">
        <f t="shared" si="8"/>
        <v>0.77</v>
      </c>
      <c r="Q94" s="26">
        <f t="shared" si="10"/>
        <v>0.75347665884186377</v>
      </c>
      <c r="R94" s="26">
        <f t="shared" si="11"/>
        <v>0.28800497658079627</v>
      </c>
      <c r="S94" s="27">
        <f t="shared" si="12"/>
        <v>1.6807459690984474</v>
      </c>
      <c r="T94" s="2">
        <f t="shared" si="13"/>
        <v>0.71199502341920373</v>
      </c>
      <c r="U94" s="2">
        <f t="shared" si="14"/>
        <v>28.800497658079628</v>
      </c>
      <c r="V94" s="2">
        <f t="shared" si="9"/>
        <v>29.512492681498831</v>
      </c>
      <c r="W94" s="2">
        <v>0</v>
      </c>
      <c r="X94" s="2">
        <v>0</v>
      </c>
      <c r="Y94" s="2">
        <v>0</v>
      </c>
      <c r="Z94">
        <f t="shared" si="15"/>
        <v>0.17799875585480093</v>
      </c>
    </row>
    <row r="95" spans="1:26">
      <c r="A95" s="2" t="s">
        <v>5</v>
      </c>
      <c r="B95" s="2" t="s">
        <v>10</v>
      </c>
      <c r="C95" s="15" t="s">
        <v>32</v>
      </c>
      <c r="D95" s="16" t="s">
        <v>143</v>
      </c>
      <c r="E95" s="15"/>
      <c r="F95" s="17">
        <v>1691</v>
      </c>
      <c r="G95" s="17">
        <v>621.86249999999995</v>
      </c>
      <c r="H95" s="18">
        <v>0.41299999999999998</v>
      </c>
      <c r="I95" s="19">
        <v>1.54</v>
      </c>
      <c r="J95" s="19">
        <v>2</v>
      </c>
      <c r="K95" s="19">
        <v>0.77</v>
      </c>
      <c r="L95" s="20">
        <v>28</v>
      </c>
      <c r="M95" s="28">
        <v>44.544320999999997</v>
      </c>
      <c r="N95" s="28">
        <v>11.382828</v>
      </c>
      <c r="O95" s="26">
        <f>IF(COUNTA(C95:N95),IF(LEFT(E$4,1)="C",ZenithAngle(M95,N95,D95,$I$4),L95),"---")</f>
        <v>28</v>
      </c>
      <c r="P95" s="26">
        <f t="shared" si="8"/>
        <v>0.77</v>
      </c>
      <c r="Q95" s="26">
        <f t="shared" si="10"/>
        <v>0.75347665884186377</v>
      </c>
      <c r="R95" s="26">
        <f t="shared" si="11"/>
        <v>0.36774837374334712</v>
      </c>
      <c r="S95" s="27">
        <f t="shared" si="12"/>
        <v>1.3507191952157964</v>
      </c>
      <c r="T95" s="2">
        <f t="shared" si="13"/>
        <v>0.63225162625665288</v>
      </c>
      <c r="U95" s="2">
        <f t="shared" si="14"/>
        <v>36.774837374334709</v>
      </c>
      <c r="V95" s="2">
        <f t="shared" si="9"/>
        <v>37.407089000591363</v>
      </c>
      <c r="W95" s="2">
        <v>0</v>
      </c>
      <c r="X95" s="2">
        <v>0</v>
      </c>
      <c r="Y95" s="2">
        <v>0</v>
      </c>
      <c r="Z95">
        <f t="shared" si="15"/>
        <v>0.15806290656416322</v>
      </c>
    </row>
    <row r="96" spans="1:26">
      <c r="A96" s="2" t="s">
        <v>5</v>
      </c>
      <c r="B96" s="2" t="s">
        <v>10</v>
      </c>
      <c r="C96" s="15" t="s">
        <v>32</v>
      </c>
      <c r="D96" s="16" t="s">
        <v>144</v>
      </c>
      <c r="E96" s="15"/>
      <c r="F96" s="17">
        <v>1475.6</v>
      </c>
      <c r="G96" s="17">
        <v>1180.0250000000001</v>
      </c>
      <c r="H96" s="18">
        <v>0.41299999999999998</v>
      </c>
      <c r="I96" s="19">
        <v>1.54</v>
      </c>
      <c r="J96" s="19">
        <v>2</v>
      </c>
      <c r="K96" s="19">
        <v>0.77</v>
      </c>
      <c r="L96" s="20">
        <v>28</v>
      </c>
      <c r="M96" s="28">
        <v>44.544320999999997</v>
      </c>
      <c r="N96" s="28">
        <v>11.382828</v>
      </c>
      <c r="O96" s="26">
        <f>IF(COUNTA(C96:N96),IF(LEFT(E$4,1)="C",ZenithAngle(M96,N96,D96,$I$4),L96),"---")</f>
        <v>28</v>
      </c>
      <c r="P96" s="26">
        <f t="shared" si="8"/>
        <v>0.77</v>
      </c>
      <c r="Q96" s="26">
        <f t="shared" si="10"/>
        <v>0.75347665884186377</v>
      </c>
      <c r="R96" s="26">
        <f t="shared" si="11"/>
        <v>0.79969165085389005</v>
      </c>
      <c r="S96" s="27">
        <f t="shared" si="12"/>
        <v>0.30181744465649657</v>
      </c>
      <c r="T96" s="2">
        <f t="shared" si="13"/>
        <v>0.20030834914610995</v>
      </c>
      <c r="U96" s="2">
        <f t="shared" si="14"/>
        <v>79.969165085389008</v>
      </c>
      <c r="V96" s="2">
        <f t="shared" si="9"/>
        <v>80.169473434535121</v>
      </c>
      <c r="W96" s="2">
        <v>0</v>
      </c>
      <c r="X96" s="2">
        <v>0</v>
      </c>
      <c r="Y96" s="2">
        <v>0</v>
      </c>
      <c r="Z96">
        <f t="shared" si="15"/>
        <v>5.0077087286527489E-2</v>
      </c>
    </row>
    <row r="97" spans="1:26">
      <c r="A97" s="2" t="s">
        <v>5</v>
      </c>
      <c r="B97" s="2" t="s">
        <v>7</v>
      </c>
      <c r="C97" s="15" t="s">
        <v>32</v>
      </c>
      <c r="D97" s="16" t="s">
        <v>145</v>
      </c>
      <c r="E97" s="15"/>
      <c r="F97" s="17">
        <v>1703.1</v>
      </c>
      <c r="G97" s="17">
        <v>534.17499999999995</v>
      </c>
      <c r="H97" s="18">
        <v>0.28299999999999997</v>
      </c>
      <c r="I97" s="19">
        <v>2.44</v>
      </c>
      <c r="J97" s="19">
        <v>2</v>
      </c>
      <c r="K97" s="19">
        <v>0.84</v>
      </c>
      <c r="L97" s="20">
        <v>28</v>
      </c>
      <c r="M97" s="28">
        <v>44.544320999999997</v>
      </c>
      <c r="N97" s="28">
        <v>11.382828</v>
      </c>
      <c r="O97" s="26">
        <f>IF(COUNTA(C97:N97),IF(LEFT(E$4,1)="C",ZenithAngle(M97,N97,D97,$I$4),L97),"---")</f>
        <v>28</v>
      </c>
      <c r="P97" s="26">
        <f t="shared" si="8"/>
        <v>0.84</v>
      </c>
      <c r="Q97" s="26">
        <f t="shared" si="10"/>
        <v>0.75347665884186377</v>
      </c>
      <c r="R97" s="26">
        <f t="shared" si="11"/>
        <v>0.31364864071399212</v>
      </c>
      <c r="S97" s="27">
        <f t="shared" si="12"/>
        <v>1.5982242074864577</v>
      </c>
      <c r="T97" s="2">
        <f t="shared" si="13"/>
        <v>0.68635135928600788</v>
      </c>
      <c r="U97" s="2">
        <f t="shared" si="14"/>
        <v>31.364864071399211</v>
      </c>
      <c r="V97" s="2">
        <f t="shared" si="9"/>
        <v>32.051215430685218</v>
      </c>
      <c r="W97" s="2">
        <v>0</v>
      </c>
      <c r="X97" s="2">
        <v>0</v>
      </c>
      <c r="Y97" s="2">
        <v>0</v>
      </c>
      <c r="Z97">
        <f t="shared" si="15"/>
        <v>0.17158783982150197</v>
      </c>
    </row>
    <row r="98" spans="1:26">
      <c r="A98" s="2" t="s">
        <v>5</v>
      </c>
      <c r="B98" s="2" t="s">
        <v>7</v>
      </c>
      <c r="C98" s="15" t="s">
        <v>32</v>
      </c>
      <c r="D98" s="16" t="s">
        <v>146</v>
      </c>
      <c r="E98" s="15"/>
      <c r="F98" s="17">
        <v>1587.6</v>
      </c>
      <c r="G98" s="17">
        <v>173.86250000000001</v>
      </c>
      <c r="H98" s="18">
        <v>0.28299999999999997</v>
      </c>
      <c r="I98" s="19">
        <v>2.44</v>
      </c>
      <c r="J98" s="19">
        <v>2</v>
      </c>
      <c r="K98" s="19">
        <v>0.84</v>
      </c>
      <c r="L98" s="20">
        <v>28</v>
      </c>
      <c r="M98" s="28">
        <v>44.544320999999997</v>
      </c>
      <c r="N98" s="28">
        <v>11.382828</v>
      </c>
      <c r="O98" s="26">
        <f>IF(COUNTA(C98:N98),IF(LEFT(E$4,1)="C",ZenithAngle(M98,N98,D98,$I$4),L98),"---")</f>
        <v>28</v>
      </c>
      <c r="P98" s="26">
        <f t="shared" si="8"/>
        <v>0.84</v>
      </c>
      <c r="Q98" s="26">
        <f t="shared" si="10"/>
        <v>0.75347665884186377</v>
      </c>
      <c r="R98" s="26">
        <f t="shared" si="11"/>
        <v>0.10951278659611995</v>
      </c>
      <c r="S98" s="27">
        <f t="shared" si="12"/>
        <v>3.0486157676987125</v>
      </c>
      <c r="T98" s="2">
        <f t="shared" si="13"/>
        <v>0.89048721340388004</v>
      </c>
      <c r="U98" s="2">
        <f t="shared" si="14"/>
        <v>10.951278659611994</v>
      </c>
      <c r="V98" s="2">
        <f t="shared" si="9"/>
        <v>11.841765873015873</v>
      </c>
      <c r="W98" s="2">
        <v>0</v>
      </c>
      <c r="X98" s="2">
        <v>0</v>
      </c>
      <c r="Y98" s="2">
        <v>0</v>
      </c>
      <c r="Z98">
        <f t="shared" si="15"/>
        <v>0.22262180335097001</v>
      </c>
    </row>
    <row r="99" spans="1:26">
      <c r="A99" s="2" t="s">
        <v>5</v>
      </c>
      <c r="B99" s="2" t="s">
        <v>7</v>
      </c>
      <c r="C99" s="15" t="s">
        <v>32</v>
      </c>
      <c r="D99" s="16" t="s">
        <v>147</v>
      </c>
      <c r="E99" s="15"/>
      <c r="F99" s="17">
        <v>1649.1</v>
      </c>
      <c r="G99" s="17">
        <v>114.14999999999999</v>
      </c>
      <c r="H99" s="18">
        <v>0.28299999999999997</v>
      </c>
      <c r="I99" s="19">
        <v>2.44</v>
      </c>
      <c r="J99" s="19">
        <v>2</v>
      </c>
      <c r="K99" s="19">
        <v>0.84</v>
      </c>
      <c r="L99" s="20">
        <v>28</v>
      </c>
      <c r="M99" s="28">
        <v>44.544320999999997</v>
      </c>
      <c r="N99" s="28">
        <v>11.382828</v>
      </c>
      <c r="O99" s="26">
        <f>IF(COUNTA(C99:N99),IF(LEFT(E$4,1)="C",ZenithAngle(M99,N99,D99,$I$4),L99),"---")</f>
        <v>28</v>
      </c>
      <c r="P99" s="26">
        <f t="shared" si="8"/>
        <v>0.84</v>
      </c>
      <c r="Q99" s="26">
        <f t="shared" si="10"/>
        <v>0.75347665884186377</v>
      </c>
      <c r="R99" s="26">
        <f t="shared" si="11"/>
        <v>6.9219574313261784E-2</v>
      </c>
      <c r="S99" s="27">
        <f t="shared" si="12"/>
        <v>3.680965048271934</v>
      </c>
      <c r="T99" s="2">
        <f t="shared" si="13"/>
        <v>0.93078042568673824</v>
      </c>
      <c r="U99" s="2">
        <f t="shared" si="14"/>
        <v>6.9219574313261782</v>
      </c>
      <c r="V99" s="2">
        <f t="shared" si="9"/>
        <v>7.8527378570129169</v>
      </c>
      <c r="W99" s="2">
        <v>0</v>
      </c>
      <c r="X99" s="2">
        <v>0</v>
      </c>
      <c r="Y99" s="2">
        <v>0</v>
      </c>
      <c r="Z99">
        <f t="shared" si="15"/>
        <v>0.23269510642168456</v>
      </c>
    </row>
    <row r="100" spans="1:26">
      <c r="A100" s="2" t="s">
        <v>5</v>
      </c>
      <c r="B100" s="2" t="s">
        <v>7</v>
      </c>
      <c r="C100" s="15" t="s">
        <v>32</v>
      </c>
      <c r="D100" s="16" t="s">
        <v>148</v>
      </c>
      <c r="E100" s="15"/>
      <c r="F100" s="17">
        <v>1343.8</v>
      </c>
      <c r="G100" s="17">
        <v>453.32500000000005</v>
      </c>
      <c r="H100" s="18">
        <v>0.28299999999999997</v>
      </c>
      <c r="I100" s="19">
        <v>2.44</v>
      </c>
      <c r="J100" s="19">
        <v>2</v>
      </c>
      <c r="K100" s="19">
        <v>0.84</v>
      </c>
      <c r="L100" s="20">
        <v>28</v>
      </c>
      <c r="M100" s="28">
        <v>44.544320999999997</v>
      </c>
      <c r="N100" s="28">
        <v>11.382828</v>
      </c>
      <c r="O100" s="26">
        <f>IF(COUNTA(C100:N100),IF(LEFT(E$4,1)="C",ZenithAngle(M100,N100,D100,$I$4),L100),"---")</f>
        <v>28</v>
      </c>
      <c r="P100" s="26">
        <f t="shared" si="8"/>
        <v>0.84</v>
      </c>
      <c r="Q100" s="26">
        <f t="shared" si="10"/>
        <v>0.75347665884186377</v>
      </c>
      <c r="R100" s="26">
        <f t="shared" si="11"/>
        <v>0.33734558714094365</v>
      </c>
      <c r="S100" s="27">
        <f t="shared" si="12"/>
        <v>1.4978294797709235</v>
      </c>
      <c r="T100" s="2">
        <f t="shared" si="13"/>
        <v>0.66265441285905635</v>
      </c>
      <c r="U100" s="2">
        <f t="shared" si="14"/>
        <v>33.734558714094362</v>
      </c>
      <c r="V100" s="2">
        <f t="shared" si="9"/>
        <v>34.397213126953417</v>
      </c>
      <c r="W100" s="2">
        <v>0</v>
      </c>
      <c r="X100" s="2">
        <v>0</v>
      </c>
      <c r="Y100" s="2">
        <v>0</v>
      </c>
      <c r="Z100">
        <f t="shared" si="15"/>
        <v>0.16566360321476409</v>
      </c>
    </row>
    <row r="101" spans="1:26">
      <c r="A101" s="2" t="s">
        <v>5</v>
      </c>
      <c r="B101" s="2" t="s">
        <v>7</v>
      </c>
      <c r="C101" s="15" t="s">
        <v>32</v>
      </c>
      <c r="D101" s="16" t="s">
        <v>149</v>
      </c>
      <c r="E101" s="15"/>
      <c r="F101" s="17">
        <v>1552.1</v>
      </c>
      <c r="G101" s="17">
        <v>214.875</v>
      </c>
      <c r="H101" s="18">
        <v>0.28299999999999997</v>
      </c>
      <c r="I101" s="19">
        <v>2.44</v>
      </c>
      <c r="J101" s="19">
        <v>2</v>
      </c>
      <c r="K101" s="19">
        <v>0.84</v>
      </c>
      <c r="L101" s="20">
        <v>28</v>
      </c>
      <c r="M101" s="28">
        <v>44.544320999999997</v>
      </c>
      <c r="N101" s="28">
        <v>11.382828</v>
      </c>
      <c r="O101" s="26">
        <f>IF(COUNTA(C101:N101),IF(LEFT(E$4,1)="C",ZenithAngle(M101,N101,D101,$I$4),L101),"---")</f>
        <v>28</v>
      </c>
      <c r="P101" s="26">
        <f t="shared" si="8"/>
        <v>0.84</v>
      </c>
      <c r="Q101" s="26">
        <f t="shared" si="10"/>
        <v>0.75347665884186377</v>
      </c>
      <c r="R101" s="26">
        <f t="shared" si="11"/>
        <v>0.13844146640036081</v>
      </c>
      <c r="S101" s="27">
        <f t="shared" si="12"/>
        <v>2.7255112696764847</v>
      </c>
      <c r="T101" s="2">
        <f t="shared" si="13"/>
        <v>0.86155853359963919</v>
      </c>
      <c r="U101" s="2">
        <f t="shared" si="14"/>
        <v>13.844146640036081</v>
      </c>
      <c r="V101" s="2">
        <f t="shared" si="9"/>
        <v>14.705705173635721</v>
      </c>
      <c r="W101" s="2">
        <v>0</v>
      </c>
      <c r="X101" s="2">
        <v>0</v>
      </c>
      <c r="Y101" s="2">
        <v>0</v>
      </c>
      <c r="Z101">
        <f t="shared" si="15"/>
        <v>0.2153896333999098</v>
      </c>
    </row>
    <row r="102" spans="1:26">
      <c r="A102" s="2" t="s">
        <v>5</v>
      </c>
      <c r="B102" s="2" t="s">
        <v>7</v>
      </c>
      <c r="C102" s="15" t="s">
        <v>32</v>
      </c>
      <c r="D102" s="16" t="s">
        <v>150</v>
      </c>
      <c r="E102" s="15"/>
      <c r="F102" s="17">
        <v>1601.6</v>
      </c>
      <c r="G102" s="17">
        <v>287.55</v>
      </c>
      <c r="H102" s="18">
        <v>0.28299999999999997</v>
      </c>
      <c r="I102" s="19">
        <v>2.44</v>
      </c>
      <c r="J102" s="19">
        <v>2</v>
      </c>
      <c r="K102" s="19">
        <v>0.84</v>
      </c>
      <c r="L102" s="20">
        <v>28</v>
      </c>
      <c r="M102" s="28">
        <v>44.544320999999997</v>
      </c>
      <c r="N102" s="28">
        <v>11.382828</v>
      </c>
      <c r="O102" s="26">
        <f>IF(COUNTA(C102:N102),IF(LEFT(E$4,1)="C",ZenithAngle(M102,N102,D102,$I$4),L102),"---")</f>
        <v>28</v>
      </c>
      <c r="P102" s="26">
        <f t="shared" si="8"/>
        <v>0.84</v>
      </c>
      <c r="Q102" s="26">
        <f t="shared" si="10"/>
        <v>0.75347665884186377</v>
      </c>
      <c r="R102" s="26">
        <f t="shared" si="11"/>
        <v>0.17953921078921081</v>
      </c>
      <c r="S102" s="27">
        <f t="shared" si="12"/>
        <v>2.3672029437490925</v>
      </c>
      <c r="T102" s="2">
        <f t="shared" si="13"/>
        <v>0.82046078921078913</v>
      </c>
      <c r="U102" s="2">
        <f t="shared" si="14"/>
        <v>17.953921078921081</v>
      </c>
      <c r="V102" s="2">
        <f t="shared" si="9"/>
        <v>18.774381868131869</v>
      </c>
      <c r="W102" s="2">
        <v>0</v>
      </c>
      <c r="X102" s="2">
        <v>0</v>
      </c>
      <c r="Y102" s="2">
        <v>0</v>
      </c>
      <c r="Z102">
        <f t="shared" si="15"/>
        <v>0.20511519730269728</v>
      </c>
    </row>
    <row r="103" spans="1:26">
      <c r="A103" s="2" t="s">
        <v>5</v>
      </c>
      <c r="B103" s="2" t="s">
        <v>7</v>
      </c>
      <c r="C103" s="15" t="s">
        <v>32</v>
      </c>
      <c r="D103" s="16" t="s">
        <v>151</v>
      </c>
      <c r="E103" s="15"/>
      <c r="F103" s="17">
        <v>1638.1</v>
      </c>
      <c r="G103" s="17">
        <v>385.13749999999999</v>
      </c>
      <c r="H103" s="18">
        <v>0.28299999999999997</v>
      </c>
      <c r="I103" s="19">
        <v>2.44</v>
      </c>
      <c r="J103" s="19">
        <v>2</v>
      </c>
      <c r="K103" s="19">
        <v>0.84</v>
      </c>
      <c r="L103" s="20">
        <v>28</v>
      </c>
      <c r="M103" s="28">
        <v>44.544320999999997</v>
      </c>
      <c r="N103" s="28">
        <v>11.382828</v>
      </c>
      <c r="O103" s="26">
        <f>IF(COUNTA(C103:N103),IF(LEFT(E$4,1)="C",ZenithAngle(M103,N103,D103,$I$4),L103),"---")</f>
        <v>28</v>
      </c>
      <c r="P103" s="26">
        <f t="shared" si="8"/>
        <v>0.84</v>
      </c>
      <c r="Q103" s="26">
        <f t="shared" si="10"/>
        <v>0.75347665884186377</v>
      </c>
      <c r="R103" s="26">
        <f t="shared" si="11"/>
        <v>0.23511232525486844</v>
      </c>
      <c r="S103" s="27">
        <f t="shared" si="12"/>
        <v>1.9954914707038534</v>
      </c>
      <c r="T103" s="2">
        <f t="shared" si="13"/>
        <v>0.76488767474513153</v>
      </c>
      <c r="U103" s="2">
        <f t="shared" si="14"/>
        <v>23.511232525486843</v>
      </c>
      <c r="V103" s="2">
        <f t="shared" si="9"/>
        <v>24.276120200231976</v>
      </c>
      <c r="W103" s="2">
        <v>0</v>
      </c>
      <c r="X103" s="2">
        <v>0</v>
      </c>
      <c r="Y103" s="2">
        <v>0</v>
      </c>
      <c r="Z103">
        <f t="shared" si="15"/>
        <v>0.19122191868628288</v>
      </c>
    </row>
    <row r="104" spans="1:26">
      <c r="A104" s="2" t="s">
        <v>5</v>
      </c>
      <c r="B104" s="2" t="s">
        <v>7</v>
      </c>
      <c r="C104" s="15" t="s">
        <v>32</v>
      </c>
      <c r="D104" s="16" t="s">
        <v>152</v>
      </c>
      <c r="E104" s="15"/>
      <c r="F104" s="17">
        <v>1731.9</v>
      </c>
      <c r="G104" s="17">
        <v>990.05</v>
      </c>
      <c r="H104" s="18">
        <v>0.28299999999999997</v>
      </c>
      <c r="I104" s="19">
        <v>2.44</v>
      </c>
      <c r="J104" s="19">
        <v>2</v>
      </c>
      <c r="K104" s="19">
        <v>0.84</v>
      </c>
      <c r="L104" s="20">
        <v>28</v>
      </c>
      <c r="M104" s="28">
        <v>44.544320999999997</v>
      </c>
      <c r="N104" s="28">
        <v>11.382828</v>
      </c>
      <c r="O104" s="26">
        <f>IF(COUNTA(C104:N104),IF(LEFT(E$4,1)="C",ZenithAngle(M104,N104,D104,$I$4),L104),"---")</f>
        <v>28</v>
      </c>
      <c r="P104" s="26">
        <f t="shared" si="8"/>
        <v>0.84</v>
      </c>
      <c r="Q104" s="26">
        <f t="shared" si="10"/>
        <v>0.75347665884186377</v>
      </c>
      <c r="R104" s="26">
        <f t="shared" si="11"/>
        <v>0.57165540735608289</v>
      </c>
      <c r="S104" s="27">
        <f t="shared" si="12"/>
        <v>0.77082461637599387</v>
      </c>
      <c r="T104" s="2">
        <f t="shared" si="13"/>
        <v>0.42834459264391711</v>
      </c>
      <c r="U104" s="2">
        <f t="shared" si="14"/>
        <v>57.165540735608289</v>
      </c>
      <c r="V104" s="2">
        <f t="shared" si="9"/>
        <v>57.593885328252206</v>
      </c>
      <c r="W104" s="2">
        <v>0</v>
      </c>
      <c r="X104" s="2">
        <v>0</v>
      </c>
      <c r="Y104" s="2">
        <v>0</v>
      </c>
      <c r="Z104">
        <f t="shared" si="15"/>
        <v>0.10708614816097928</v>
      </c>
    </row>
    <row r="105" spans="1:26">
      <c r="A105" s="2" t="s">
        <v>5</v>
      </c>
      <c r="B105" s="2" t="s">
        <v>7</v>
      </c>
      <c r="C105" s="15" t="s">
        <v>32</v>
      </c>
      <c r="D105" s="16" t="s">
        <v>153</v>
      </c>
      <c r="E105" s="15"/>
      <c r="F105" s="17">
        <v>1314.3</v>
      </c>
      <c r="G105" s="17">
        <v>241.01250000000002</v>
      </c>
      <c r="H105" s="18">
        <v>0.28299999999999997</v>
      </c>
      <c r="I105" s="19">
        <v>2.44</v>
      </c>
      <c r="J105" s="19">
        <v>2</v>
      </c>
      <c r="K105" s="19">
        <v>0.84</v>
      </c>
      <c r="L105" s="20">
        <v>28</v>
      </c>
      <c r="M105" s="28">
        <v>44.544320999999997</v>
      </c>
      <c r="N105" s="28">
        <v>11.382828</v>
      </c>
      <c r="O105" s="26">
        <f>IF(COUNTA(C105:N105),IF(LEFT(E$4,1)="C",ZenithAngle(M105,N105,D105,$I$4),L105),"---")</f>
        <v>28</v>
      </c>
      <c r="P105" s="26">
        <f t="shared" si="8"/>
        <v>0.84</v>
      </c>
      <c r="Q105" s="26">
        <f t="shared" si="10"/>
        <v>0.75347665884186377</v>
      </c>
      <c r="R105" s="26">
        <f t="shared" si="11"/>
        <v>0.18337708285779505</v>
      </c>
      <c r="S105" s="27">
        <f t="shared" si="12"/>
        <v>2.3380485547323779</v>
      </c>
      <c r="T105" s="2">
        <f t="shared" si="13"/>
        <v>0.81662291714220492</v>
      </c>
      <c r="U105" s="2">
        <f t="shared" si="14"/>
        <v>18.337708285779506</v>
      </c>
      <c r="V105" s="2">
        <f t="shared" si="9"/>
        <v>19.154331202921711</v>
      </c>
      <c r="W105" s="2">
        <v>0</v>
      </c>
      <c r="X105" s="2">
        <v>0</v>
      </c>
      <c r="Y105" s="2">
        <v>0</v>
      </c>
      <c r="Z105">
        <f t="shared" si="15"/>
        <v>0.20415572928555123</v>
      </c>
    </row>
    <row r="106" spans="1:26">
      <c r="A106" s="2" t="s">
        <v>5</v>
      </c>
      <c r="B106" s="2" t="s">
        <v>7</v>
      </c>
      <c r="C106" s="15" t="s">
        <v>32</v>
      </c>
      <c r="D106" s="16" t="s">
        <v>154</v>
      </c>
      <c r="E106" s="15"/>
      <c r="F106" s="17">
        <v>1658.9</v>
      </c>
      <c r="G106" s="17">
        <v>1161.6000000000001</v>
      </c>
      <c r="H106" s="18">
        <v>0.28299999999999997</v>
      </c>
      <c r="I106" s="19">
        <v>2.44</v>
      </c>
      <c r="J106" s="19">
        <v>2</v>
      </c>
      <c r="K106" s="19">
        <v>0.84</v>
      </c>
      <c r="L106" s="20">
        <v>28</v>
      </c>
      <c r="M106" s="28">
        <v>44.544320999999997</v>
      </c>
      <c r="N106" s="28">
        <v>11.382828</v>
      </c>
      <c r="O106" s="26">
        <f>IF(COUNTA(C106:N106),IF(LEFT(E$4,1)="C",ZenithAngle(M106,N106,D106,$I$4),L106),"---")</f>
        <v>28</v>
      </c>
      <c r="P106" s="26">
        <f t="shared" si="8"/>
        <v>0.84</v>
      </c>
      <c r="Q106" s="26">
        <f t="shared" si="10"/>
        <v>0.75347665884186377</v>
      </c>
      <c r="R106" s="26">
        <f t="shared" si="11"/>
        <v>0.70022303936343366</v>
      </c>
      <c r="S106" s="27">
        <f t="shared" si="12"/>
        <v>0.49119988259585973</v>
      </c>
      <c r="T106" s="2">
        <f t="shared" si="13"/>
        <v>0.29977696063656634</v>
      </c>
      <c r="U106" s="2">
        <f t="shared" si="14"/>
        <v>70.022303936343363</v>
      </c>
      <c r="V106" s="2">
        <f t="shared" si="9"/>
        <v>70.322080896979926</v>
      </c>
      <c r="W106" s="2">
        <v>0</v>
      </c>
      <c r="X106" s="2">
        <v>0</v>
      </c>
      <c r="Y106" s="2">
        <v>0</v>
      </c>
      <c r="Z106">
        <f t="shared" si="15"/>
        <v>7.4944240159141584E-2</v>
      </c>
    </row>
    <row r="107" spans="1:26">
      <c r="A107" s="21" t="s">
        <v>11</v>
      </c>
      <c r="B107" s="2" t="s">
        <v>6</v>
      </c>
      <c r="C107" s="15" t="s">
        <v>32</v>
      </c>
      <c r="D107" s="16" t="s">
        <v>155</v>
      </c>
      <c r="E107" s="15"/>
      <c r="F107" s="17">
        <v>1706.6</v>
      </c>
      <c r="G107" s="17">
        <v>113.925</v>
      </c>
      <c r="H107" s="18">
        <v>0.16600000000000001</v>
      </c>
      <c r="I107" s="19">
        <v>3.06</v>
      </c>
      <c r="J107" s="19">
        <v>2</v>
      </c>
      <c r="K107" s="19">
        <v>0.84</v>
      </c>
      <c r="L107" s="20">
        <v>27</v>
      </c>
      <c r="M107" s="28">
        <v>44.544320999999997</v>
      </c>
      <c r="N107" s="28">
        <v>11.382828</v>
      </c>
      <c r="O107" s="26">
        <f>IF(COUNTA(C107:N107),IF(LEFT(E$4,1)="C",ZenithAngle(M107,N107,D107,$I$4),L107),"---")</f>
        <v>27</v>
      </c>
      <c r="P107" s="26">
        <f t="shared" si="8"/>
        <v>0.84</v>
      </c>
      <c r="Q107" s="26">
        <f t="shared" si="10"/>
        <v>0.75144198109754745</v>
      </c>
      <c r="R107" s="26">
        <f t="shared" si="11"/>
        <v>6.6755537325676781E-2</v>
      </c>
      <c r="S107" s="27">
        <f t="shared" si="12"/>
        <v>3.7387761611184001</v>
      </c>
      <c r="T107" s="2">
        <f t="shared" si="13"/>
        <v>0.93324446267432326</v>
      </c>
      <c r="U107" s="2">
        <f t="shared" si="14"/>
        <v>6.6755537325676784</v>
      </c>
      <c r="V107" s="2">
        <f t="shared" si="9"/>
        <v>7.6087981952420014</v>
      </c>
      <c r="W107" s="2">
        <v>0</v>
      </c>
      <c r="X107" s="2">
        <v>0</v>
      </c>
      <c r="Y107" s="2">
        <v>0</v>
      </c>
      <c r="Z107">
        <f t="shared" si="15"/>
        <v>0.23331111566858082</v>
      </c>
    </row>
    <row r="108" spans="1:26">
      <c r="A108" s="21" t="s">
        <v>11</v>
      </c>
      <c r="B108" s="2" t="s">
        <v>6</v>
      </c>
      <c r="C108" s="15" t="s">
        <v>32</v>
      </c>
      <c r="D108" s="16" t="s">
        <v>156</v>
      </c>
      <c r="E108" s="15"/>
      <c r="F108" s="17">
        <v>1603.8</v>
      </c>
      <c r="G108" s="17">
        <v>162.88750000000005</v>
      </c>
      <c r="H108" s="18">
        <v>0.16600000000000001</v>
      </c>
      <c r="I108" s="19">
        <v>3.06</v>
      </c>
      <c r="J108" s="19">
        <v>2</v>
      </c>
      <c r="K108" s="19">
        <v>0.84</v>
      </c>
      <c r="L108" s="20">
        <v>27</v>
      </c>
      <c r="M108" s="28">
        <v>44.544320999999997</v>
      </c>
      <c r="N108" s="28">
        <v>11.382828</v>
      </c>
      <c r="O108" s="26">
        <f>IF(COUNTA(C108:N108),IF(LEFT(E$4,1)="C",ZenithAngle(M108,N108,D108,$I$4),L108),"---")</f>
        <v>27</v>
      </c>
      <c r="P108" s="26">
        <f t="shared" si="8"/>
        <v>0.84</v>
      </c>
      <c r="Q108" s="26">
        <f t="shared" si="10"/>
        <v>0.75144198109754745</v>
      </c>
      <c r="R108" s="26">
        <f t="shared" si="11"/>
        <v>0.10156347424865947</v>
      </c>
      <c r="S108" s="27">
        <f t="shared" si="12"/>
        <v>3.1591202392453241</v>
      </c>
      <c r="T108" s="2">
        <f t="shared" si="13"/>
        <v>0.89843652575134048</v>
      </c>
      <c r="U108" s="2">
        <f t="shared" si="14"/>
        <v>10.156347424865947</v>
      </c>
      <c r="V108" s="2">
        <f t="shared" si="9"/>
        <v>11.054783950617288</v>
      </c>
      <c r="W108" s="2">
        <v>0</v>
      </c>
      <c r="X108" s="2">
        <v>0</v>
      </c>
      <c r="Y108" s="2">
        <v>0</v>
      </c>
      <c r="Z108">
        <f t="shared" si="15"/>
        <v>0.22460913143783512</v>
      </c>
    </row>
    <row r="109" spans="1:26">
      <c r="A109" s="21" t="s">
        <v>11</v>
      </c>
      <c r="B109" s="2" t="s">
        <v>6</v>
      </c>
      <c r="C109" s="15" t="s">
        <v>32</v>
      </c>
      <c r="D109" s="16" t="s">
        <v>157</v>
      </c>
      <c r="E109" s="15"/>
      <c r="F109" s="17">
        <v>1545.7</v>
      </c>
      <c r="G109" s="17">
        <v>227.23750000000001</v>
      </c>
      <c r="H109" s="18">
        <v>0.16600000000000001</v>
      </c>
      <c r="I109" s="19">
        <v>3.06</v>
      </c>
      <c r="J109" s="19">
        <v>2</v>
      </c>
      <c r="K109" s="19">
        <v>0.84</v>
      </c>
      <c r="L109" s="20">
        <v>27</v>
      </c>
      <c r="M109" s="28">
        <v>44.544320999999997</v>
      </c>
      <c r="N109" s="28">
        <v>11.382828</v>
      </c>
      <c r="O109" s="26">
        <f>IF(COUNTA(C109:N109),IF(LEFT(E$4,1)="C",ZenithAngle(M109,N109,D109,$I$4),L109),"---")</f>
        <v>27</v>
      </c>
      <c r="P109" s="26">
        <f t="shared" si="8"/>
        <v>0.84</v>
      </c>
      <c r="Q109" s="26">
        <f t="shared" si="10"/>
        <v>0.75144198109754745</v>
      </c>
      <c r="R109" s="26">
        <f t="shared" si="11"/>
        <v>0.147012680339005</v>
      </c>
      <c r="S109" s="27">
        <f t="shared" si="12"/>
        <v>2.6482691592393741</v>
      </c>
      <c r="T109" s="2">
        <f t="shared" si="13"/>
        <v>0.85298731966099495</v>
      </c>
      <c r="U109" s="2">
        <f t="shared" si="14"/>
        <v>14.701268033900499</v>
      </c>
      <c r="V109" s="2">
        <f t="shared" si="9"/>
        <v>15.554255353561494</v>
      </c>
      <c r="W109" s="2">
        <v>0</v>
      </c>
      <c r="X109" s="2">
        <v>0</v>
      </c>
      <c r="Y109" s="2">
        <v>0</v>
      </c>
      <c r="Z109">
        <f t="shared" si="15"/>
        <v>0.21324682991524874</v>
      </c>
    </row>
    <row r="110" spans="1:26">
      <c r="A110" s="21" t="s">
        <v>11</v>
      </c>
      <c r="B110" s="2" t="s">
        <v>6</v>
      </c>
      <c r="C110" s="15" t="s">
        <v>32</v>
      </c>
      <c r="D110" s="16" t="s">
        <v>158</v>
      </c>
      <c r="E110" s="15"/>
      <c r="F110" s="17">
        <v>1760.9</v>
      </c>
      <c r="G110" s="17">
        <v>689.83749999999998</v>
      </c>
      <c r="H110" s="18">
        <v>0.16600000000000001</v>
      </c>
      <c r="I110" s="19">
        <v>3.06</v>
      </c>
      <c r="J110" s="19">
        <v>2</v>
      </c>
      <c r="K110" s="19">
        <v>0.84</v>
      </c>
      <c r="L110" s="20">
        <v>27</v>
      </c>
      <c r="M110" s="28">
        <v>44.544320999999997</v>
      </c>
      <c r="N110" s="28">
        <v>11.382828</v>
      </c>
      <c r="O110" s="26">
        <f>IF(COUNTA(C110:N110),IF(LEFT(E$4,1)="C",ZenithAngle(M110,N110,D110,$I$4),L110),"---")</f>
        <v>27</v>
      </c>
      <c r="P110" s="26">
        <f t="shared" si="8"/>
        <v>0.84</v>
      </c>
      <c r="Q110" s="26">
        <f t="shared" si="10"/>
        <v>0.75144198109754745</v>
      </c>
      <c r="R110" s="26">
        <f t="shared" si="11"/>
        <v>0.39175279686523934</v>
      </c>
      <c r="S110" s="27">
        <f t="shared" si="12"/>
        <v>1.2944450806020964</v>
      </c>
      <c r="T110" s="2">
        <f t="shared" si="13"/>
        <v>0.60824720313476066</v>
      </c>
      <c r="U110" s="2">
        <f t="shared" si="14"/>
        <v>39.175279686523936</v>
      </c>
      <c r="V110" s="2">
        <f t="shared" si="9"/>
        <v>39.783526889658695</v>
      </c>
      <c r="W110" s="2">
        <v>0</v>
      </c>
      <c r="X110" s="2">
        <v>0</v>
      </c>
      <c r="Y110" s="2">
        <v>0</v>
      </c>
      <c r="Z110">
        <f t="shared" si="15"/>
        <v>0.15206180078369017</v>
      </c>
    </row>
    <row r="111" spans="1:26">
      <c r="A111" s="21" t="s">
        <v>11</v>
      </c>
      <c r="B111" s="2" t="s">
        <v>6</v>
      </c>
      <c r="C111" s="15" t="s">
        <v>32</v>
      </c>
      <c r="D111" s="16" t="s">
        <v>159</v>
      </c>
      <c r="E111" s="15"/>
      <c r="F111" s="17">
        <v>1704.5</v>
      </c>
      <c r="G111" s="17">
        <v>136.88749999999999</v>
      </c>
      <c r="H111" s="18">
        <v>0.16600000000000001</v>
      </c>
      <c r="I111" s="19">
        <v>3.06</v>
      </c>
      <c r="J111" s="19">
        <v>2</v>
      </c>
      <c r="K111" s="19">
        <v>0.84</v>
      </c>
      <c r="L111" s="20">
        <v>27</v>
      </c>
      <c r="M111" s="28">
        <v>44.544320999999997</v>
      </c>
      <c r="N111" s="28">
        <v>11.382828</v>
      </c>
      <c r="O111" s="26">
        <f>IF(COUNTA(C111:N111),IF(LEFT(E$4,1)="C",ZenithAngle(M111,N111,D111,$I$4),L111),"---")</f>
        <v>27</v>
      </c>
      <c r="P111" s="26">
        <f t="shared" si="8"/>
        <v>0.84</v>
      </c>
      <c r="Q111" s="26">
        <f t="shared" si="10"/>
        <v>0.75144198109754745</v>
      </c>
      <c r="R111" s="26">
        <f t="shared" si="11"/>
        <v>8.0309474919331172E-2</v>
      </c>
      <c r="S111" s="27">
        <f t="shared" si="12"/>
        <v>3.4834432803439541</v>
      </c>
      <c r="T111" s="2">
        <f t="shared" si="13"/>
        <v>0.91969052508066884</v>
      </c>
      <c r="U111" s="2">
        <f t="shared" si="14"/>
        <v>8.0309474919331176</v>
      </c>
      <c r="V111" s="2">
        <f t="shared" si="9"/>
        <v>8.9506380170137874</v>
      </c>
      <c r="W111" s="2">
        <v>0</v>
      </c>
      <c r="X111" s="2">
        <v>0</v>
      </c>
      <c r="Y111" s="2">
        <v>0</v>
      </c>
      <c r="Z111">
        <f t="shared" si="15"/>
        <v>0.22992263127016721</v>
      </c>
    </row>
    <row r="112" spans="1:26">
      <c r="A112" s="21" t="s">
        <v>11</v>
      </c>
      <c r="B112" s="2" t="s">
        <v>6</v>
      </c>
      <c r="C112" s="15" t="s">
        <v>32</v>
      </c>
      <c r="D112" s="16" t="s">
        <v>160</v>
      </c>
      <c r="E112" s="15"/>
      <c r="F112" s="17">
        <v>1705.9</v>
      </c>
      <c r="G112" s="17">
        <v>132.15</v>
      </c>
      <c r="H112" s="18">
        <v>0.16600000000000001</v>
      </c>
      <c r="I112" s="19">
        <v>3.06</v>
      </c>
      <c r="J112" s="19">
        <v>2</v>
      </c>
      <c r="K112" s="19">
        <v>0.84</v>
      </c>
      <c r="L112" s="20">
        <v>27</v>
      </c>
      <c r="M112" s="28">
        <v>44.544320999999997</v>
      </c>
      <c r="N112" s="28">
        <v>11.382828</v>
      </c>
      <c r="O112" s="26">
        <f>IF(COUNTA(C112:N112),IF(LEFT(E$4,1)="C",ZenithAngle(M112,N112,D112,$I$4),L112),"---")</f>
        <v>27</v>
      </c>
      <c r="P112" s="26">
        <f t="shared" si="8"/>
        <v>0.84</v>
      </c>
      <c r="Q112" s="26">
        <f t="shared" si="10"/>
        <v>0.75144198109754745</v>
      </c>
      <c r="R112" s="26">
        <f t="shared" si="11"/>
        <v>7.7466440002344802E-2</v>
      </c>
      <c r="S112" s="27">
        <f t="shared" si="12"/>
        <v>3.5332290176206689</v>
      </c>
      <c r="T112" s="2">
        <f t="shared" si="13"/>
        <v>0.92253355999765518</v>
      </c>
      <c r="U112" s="2">
        <f t="shared" si="14"/>
        <v>7.7466440002344799</v>
      </c>
      <c r="V112" s="2">
        <f t="shared" si="9"/>
        <v>8.6691775602321357</v>
      </c>
      <c r="W112" s="2">
        <v>0</v>
      </c>
      <c r="X112" s="2">
        <v>0</v>
      </c>
      <c r="Y112" s="2">
        <v>0</v>
      </c>
      <c r="Z112">
        <f t="shared" si="15"/>
        <v>0.2306333899994138</v>
      </c>
    </row>
    <row r="113" spans="1:26">
      <c r="A113" s="21" t="s">
        <v>11</v>
      </c>
      <c r="B113" s="2" t="s">
        <v>6</v>
      </c>
      <c r="C113" s="15" t="s">
        <v>32</v>
      </c>
      <c r="D113" s="16" t="s">
        <v>161</v>
      </c>
      <c r="E113" s="15"/>
      <c r="F113" s="17">
        <v>1703.4</v>
      </c>
      <c r="G113" s="17">
        <v>307.12499999999994</v>
      </c>
      <c r="H113" s="18">
        <v>0.16600000000000001</v>
      </c>
      <c r="I113" s="19">
        <v>3.06</v>
      </c>
      <c r="J113" s="19">
        <v>2</v>
      </c>
      <c r="K113" s="19">
        <v>0.84</v>
      </c>
      <c r="L113" s="20">
        <v>27</v>
      </c>
      <c r="M113" s="28">
        <v>44.544320999999997</v>
      </c>
      <c r="N113" s="28">
        <v>11.382828</v>
      </c>
      <c r="O113" s="26">
        <f>IF(COUNTA(C113:N113),IF(LEFT(E$4,1)="C",ZenithAngle(M113,N113,D113,$I$4),L113),"---")</f>
        <v>27</v>
      </c>
      <c r="P113" s="26">
        <f t="shared" si="8"/>
        <v>0.84</v>
      </c>
      <c r="Q113" s="26">
        <f t="shared" si="10"/>
        <v>0.75144198109754745</v>
      </c>
      <c r="R113" s="26">
        <f t="shared" si="11"/>
        <v>0.18030116238112007</v>
      </c>
      <c r="S113" s="27">
        <f t="shared" si="12"/>
        <v>2.3663333991199957</v>
      </c>
      <c r="T113" s="2">
        <f t="shared" si="13"/>
        <v>0.81969883761887996</v>
      </c>
      <c r="U113" s="2">
        <f t="shared" si="14"/>
        <v>18.030116238112008</v>
      </c>
      <c r="V113" s="2">
        <f t="shared" si="9"/>
        <v>18.849815075730888</v>
      </c>
      <c r="W113" s="2">
        <v>0</v>
      </c>
      <c r="X113" s="2">
        <v>0</v>
      </c>
      <c r="Y113" s="2">
        <v>0</v>
      </c>
      <c r="Z113">
        <f t="shared" si="15"/>
        <v>0.20492470940471999</v>
      </c>
    </row>
    <row r="114" spans="1:26">
      <c r="A114" s="21" t="s">
        <v>11</v>
      </c>
      <c r="B114" s="2" t="s">
        <v>6</v>
      </c>
      <c r="C114" s="15" t="s">
        <v>32</v>
      </c>
      <c r="D114" s="16" t="s">
        <v>162</v>
      </c>
      <c r="E114" s="15"/>
      <c r="F114" s="17">
        <v>1703.3</v>
      </c>
      <c r="G114" s="17">
        <v>501.76249999999993</v>
      </c>
      <c r="H114" s="18">
        <v>0.16600000000000001</v>
      </c>
      <c r="I114" s="19">
        <v>3.06</v>
      </c>
      <c r="J114" s="19">
        <v>2</v>
      </c>
      <c r="K114" s="19">
        <v>0.84</v>
      </c>
      <c r="L114" s="20">
        <v>27</v>
      </c>
      <c r="M114" s="28">
        <v>44.544320999999997</v>
      </c>
      <c r="N114" s="28">
        <v>11.382828</v>
      </c>
      <c r="O114" s="26">
        <f>IF(COUNTA(C114:N114),IF(LEFT(E$4,1)="C",ZenithAngle(M114,N114,D114,$I$4),L114),"---")</f>
        <v>27</v>
      </c>
      <c r="P114" s="26">
        <f t="shared" si="8"/>
        <v>0.84</v>
      </c>
      <c r="Q114" s="26">
        <f t="shared" si="10"/>
        <v>0.75144198109754745</v>
      </c>
      <c r="R114" s="26">
        <f t="shared" si="11"/>
        <v>0.29458257500146773</v>
      </c>
      <c r="S114" s="27">
        <f t="shared" si="12"/>
        <v>1.6882131565196286</v>
      </c>
      <c r="T114" s="2">
        <f t="shared" si="13"/>
        <v>0.70541742499853233</v>
      </c>
      <c r="U114" s="2">
        <f t="shared" si="14"/>
        <v>29.458257500146772</v>
      </c>
      <c r="V114" s="2">
        <f t="shared" si="9"/>
        <v>30.163674925145305</v>
      </c>
      <c r="W114" s="2">
        <v>0</v>
      </c>
      <c r="X114" s="2">
        <v>0</v>
      </c>
      <c r="Y114" s="2">
        <v>0</v>
      </c>
      <c r="Z114">
        <f t="shared" si="15"/>
        <v>0.17635435624963308</v>
      </c>
    </row>
    <row r="115" spans="1:26">
      <c r="A115" s="21" t="s">
        <v>11</v>
      </c>
      <c r="B115" s="2" t="s">
        <v>6</v>
      </c>
      <c r="C115" s="15" t="s">
        <v>32</v>
      </c>
      <c r="D115" s="16" t="s">
        <v>163</v>
      </c>
      <c r="E115" s="15"/>
      <c r="F115" s="17">
        <v>1644.2</v>
      </c>
      <c r="G115" s="17">
        <v>419.2</v>
      </c>
      <c r="H115" s="18">
        <v>0.16600000000000001</v>
      </c>
      <c r="I115" s="19">
        <v>3.06</v>
      </c>
      <c r="J115" s="19">
        <v>2</v>
      </c>
      <c r="K115" s="19">
        <v>0.84</v>
      </c>
      <c r="L115" s="20">
        <v>27</v>
      </c>
      <c r="M115" s="28">
        <v>44.544320999999997</v>
      </c>
      <c r="N115" s="28">
        <v>11.382828</v>
      </c>
      <c r="O115" s="26">
        <f>IF(COUNTA(C115:N115),IF(LEFT(E$4,1)="C",ZenithAngle(M115,N115,D115,$I$4),L115),"---")</f>
        <v>27</v>
      </c>
      <c r="P115" s="26">
        <f t="shared" si="8"/>
        <v>0.84</v>
      </c>
      <c r="Q115" s="26">
        <f t="shared" si="10"/>
        <v>0.75144198109754745</v>
      </c>
      <c r="R115" s="26">
        <f t="shared" si="11"/>
        <v>0.25495681790536429</v>
      </c>
      <c r="S115" s="27">
        <f t="shared" si="12"/>
        <v>1.887762170970462</v>
      </c>
      <c r="T115" s="2">
        <f t="shared" si="13"/>
        <v>0.74504318209463571</v>
      </c>
      <c r="U115" s="2">
        <f t="shared" si="14"/>
        <v>25.49568179053643</v>
      </c>
      <c r="V115" s="2">
        <f t="shared" si="9"/>
        <v>26.240724972631067</v>
      </c>
      <c r="W115" s="2">
        <v>0</v>
      </c>
      <c r="X115" s="2">
        <v>0</v>
      </c>
      <c r="Y115" s="2">
        <v>0</v>
      </c>
      <c r="Z115">
        <f t="shared" si="15"/>
        <v>0.18626079552365893</v>
      </c>
    </row>
    <row r="116" spans="1:26">
      <c r="A116" s="21" t="s">
        <v>11</v>
      </c>
      <c r="B116" s="2" t="s">
        <v>6</v>
      </c>
      <c r="C116" s="15" t="s">
        <v>32</v>
      </c>
      <c r="D116" s="16" t="s">
        <v>164</v>
      </c>
      <c r="E116" s="15"/>
      <c r="F116" s="17">
        <v>1616.2</v>
      </c>
      <c r="G116" s="17">
        <v>164.95</v>
      </c>
      <c r="H116" s="18">
        <v>0.16600000000000001</v>
      </c>
      <c r="I116" s="19">
        <v>3.06</v>
      </c>
      <c r="J116" s="19">
        <v>2</v>
      </c>
      <c r="K116" s="19">
        <v>0.84</v>
      </c>
      <c r="L116" s="20">
        <v>27</v>
      </c>
      <c r="M116" s="28">
        <v>44.544320999999997</v>
      </c>
      <c r="N116" s="28">
        <v>11.382828</v>
      </c>
      <c r="O116" s="26">
        <f>IF(COUNTA(C116:N116),IF(LEFT(E$4,1)="C",ZenithAngle(M116,N116,D116,$I$4),L116),"---")</f>
        <v>27</v>
      </c>
      <c r="P116" s="26">
        <f t="shared" si="8"/>
        <v>0.84</v>
      </c>
      <c r="Q116" s="26">
        <f t="shared" si="10"/>
        <v>0.75144198109754745</v>
      </c>
      <c r="R116" s="26">
        <f t="shared" si="11"/>
        <v>0.10206038856577156</v>
      </c>
      <c r="S116" s="27">
        <f t="shared" si="12"/>
        <v>3.1523785280367118</v>
      </c>
      <c r="T116" s="2">
        <f t="shared" si="13"/>
        <v>0.8979396114342284</v>
      </c>
      <c r="U116" s="2">
        <f t="shared" si="14"/>
        <v>10.206038856577155</v>
      </c>
      <c r="V116" s="2">
        <f t="shared" si="9"/>
        <v>11.103978468011384</v>
      </c>
      <c r="W116" s="2">
        <v>0</v>
      </c>
      <c r="X116" s="2">
        <v>0</v>
      </c>
      <c r="Y116" s="2">
        <v>0</v>
      </c>
      <c r="Z116">
        <f t="shared" si="15"/>
        <v>0.2244849028585571</v>
      </c>
    </row>
    <row r="117" spans="1:26">
      <c r="A117" s="21" t="s">
        <v>11</v>
      </c>
      <c r="B117" s="2" t="s">
        <v>7</v>
      </c>
      <c r="C117" s="15" t="s">
        <v>32</v>
      </c>
      <c r="D117" s="16" t="s">
        <v>165</v>
      </c>
      <c r="E117" s="15"/>
      <c r="F117" s="17">
        <v>1759.3</v>
      </c>
      <c r="G117" s="17">
        <v>146.02500000000003</v>
      </c>
      <c r="H117" s="18">
        <v>9.0999999999999998E-2</v>
      </c>
      <c r="I117" s="19">
        <v>3.75</v>
      </c>
      <c r="J117" s="19">
        <v>2</v>
      </c>
      <c r="K117" s="19">
        <v>0.83</v>
      </c>
      <c r="L117" s="20">
        <v>27</v>
      </c>
      <c r="M117" s="28">
        <v>44.544320999999997</v>
      </c>
      <c r="N117" s="28">
        <v>11.382828</v>
      </c>
      <c r="O117" s="26">
        <f>IF(COUNTA(C117:N117),IF(LEFT(E$4,1)="C",ZenithAngle(M117,N117,D117,$I$4),L117),"---")</f>
        <v>27</v>
      </c>
      <c r="P117" s="26">
        <f t="shared" si="8"/>
        <v>0.83</v>
      </c>
      <c r="Q117" s="26">
        <f t="shared" si="10"/>
        <v>0.75144198109754745</v>
      </c>
      <c r="R117" s="26">
        <f t="shared" si="11"/>
        <v>8.3001762064457474E-2</v>
      </c>
      <c r="S117" s="27">
        <f t="shared" si="12"/>
        <v>3.4272809351148092</v>
      </c>
      <c r="T117" s="2">
        <f t="shared" si="13"/>
        <v>0.91699823793554258</v>
      </c>
      <c r="U117" s="2">
        <f t="shared" si="14"/>
        <v>8.3001762064457481</v>
      </c>
      <c r="V117" s="2">
        <f t="shared" si="9"/>
        <v>9.2171744443812909</v>
      </c>
      <c r="W117" s="2">
        <v>0</v>
      </c>
      <c r="X117" s="2">
        <v>0</v>
      </c>
      <c r="Y117" s="2">
        <v>0</v>
      </c>
      <c r="Z117">
        <f t="shared" si="15"/>
        <v>0.22924955948388565</v>
      </c>
    </row>
    <row r="118" spans="1:26">
      <c r="A118" s="21" t="s">
        <v>11</v>
      </c>
      <c r="B118" s="2" t="s">
        <v>7</v>
      </c>
      <c r="C118" s="15" t="s">
        <v>32</v>
      </c>
      <c r="D118" s="16" t="s">
        <v>166</v>
      </c>
      <c r="E118" s="15"/>
      <c r="F118" s="17">
        <v>1745.3</v>
      </c>
      <c r="G118" s="17">
        <v>80.399999999999991</v>
      </c>
      <c r="H118" s="18">
        <v>9.0999999999999998E-2</v>
      </c>
      <c r="I118" s="19">
        <v>3.75</v>
      </c>
      <c r="J118" s="19">
        <v>2</v>
      </c>
      <c r="K118" s="19">
        <v>0.83</v>
      </c>
      <c r="L118" s="20">
        <v>27</v>
      </c>
      <c r="M118" s="28">
        <v>44.544320999999997</v>
      </c>
      <c r="N118" s="28">
        <v>11.382828</v>
      </c>
      <c r="O118" s="26">
        <f>IF(COUNTA(C118:N118),IF(LEFT(E$4,1)="C",ZenithAngle(M118,N118,D118,$I$4),L118),"---")</f>
        <v>27</v>
      </c>
      <c r="P118" s="26">
        <f t="shared" si="8"/>
        <v>0.83</v>
      </c>
      <c r="Q118" s="26">
        <f t="shared" si="10"/>
        <v>0.75144198109754745</v>
      </c>
      <c r="R118" s="26">
        <f t="shared" si="11"/>
        <v>4.6066578811665614E-2</v>
      </c>
      <c r="S118" s="27">
        <f t="shared" si="12"/>
        <v>4.2380405637356926</v>
      </c>
      <c r="T118" s="2">
        <f t="shared" si="13"/>
        <v>0.95393342118833435</v>
      </c>
      <c r="U118" s="2">
        <f t="shared" si="14"/>
        <v>4.6066578811665613</v>
      </c>
      <c r="V118" s="2">
        <f t="shared" si="9"/>
        <v>5.5605913023548954</v>
      </c>
      <c r="W118" s="2">
        <v>0</v>
      </c>
      <c r="X118" s="2">
        <v>0</v>
      </c>
      <c r="Y118" s="2">
        <v>0</v>
      </c>
      <c r="Z118">
        <f t="shared" si="15"/>
        <v>0.23848335529708359</v>
      </c>
    </row>
    <row r="119" spans="1:26">
      <c r="A119" s="21" t="s">
        <v>11</v>
      </c>
      <c r="B119" s="2" t="s">
        <v>7</v>
      </c>
      <c r="C119" s="15" t="s">
        <v>32</v>
      </c>
      <c r="D119" s="16" t="s">
        <v>167</v>
      </c>
      <c r="E119" s="15"/>
      <c r="F119" s="17">
        <v>1731.3</v>
      </c>
      <c r="G119" s="17">
        <v>144.0625</v>
      </c>
      <c r="H119" s="18">
        <v>9.0999999999999998E-2</v>
      </c>
      <c r="I119" s="19">
        <v>3.75</v>
      </c>
      <c r="J119" s="19">
        <v>2</v>
      </c>
      <c r="K119" s="19">
        <v>0.83</v>
      </c>
      <c r="L119" s="20">
        <v>27</v>
      </c>
      <c r="M119" s="28">
        <v>44.544320999999997</v>
      </c>
      <c r="N119" s="28">
        <v>11.382828</v>
      </c>
      <c r="O119" s="26">
        <f>IF(COUNTA(C119:N119),IF(LEFT(E$4,1)="C",ZenithAngle(M119,N119,D119,$I$4),L119),"---")</f>
        <v>27</v>
      </c>
      <c r="P119" s="26">
        <f t="shared" si="8"/>
        <v>0.83</v>
      </c>
      <c r="Q119" s="26">
        <f t="shared" si="10"/>
        <v>0.75144198109754745</v>
      </c>
      <c r="R119" s="26">
        <f t="shared" si="11"/>
        <v>8.321059319586438E-2</v>
      </c>
      <c r="S119" s="27">
        <f t="shared" si="12"/>
        <v>3.4238207003606922</v>
      </c>
      <c r="T119" s="2">
        <f t="shared" si="13"/>
        <v>0.91678940680413556</v>
      </c>
      <c r="U119" s="2">
        <f t="shared" si="14"/>
        <v>8.3210593195864373</v>
      </c>
      <c r="V119" s="2">
        <f t="shared" si="9"/>
        <v>9.2378487263905722</v>
      </c>
      <c r="W119" s="2">
        <v>0</v>
      </c>
      <c r="X119" s="2">
        <v>0</v>
      </c>
      <c r="Y119" s="2">
        <v>0</v>
      </c>
      <c r="Z119">
        <f t="shared" si="15"/>
        <v>0.22919735170103389</v>
      </c>
    </row>
    <row r="120" spans="1:26">
      <c r="A120" s="21" t="s">
        <v>11</v>
      </c>
      <c r="B120" s="2" t="s">
        <v>7</v>
      </c>
      <c r="C120" s="15" t="s">
        <v>32</v>
      </c>
      <c r="D120" s="16" t="s">
        <v>168</v>
      </c>
      <c r="E120" s="15"/>
      <c r="F120" s="17">
        <v>1695</v>
      </c>
      <c r="G120" s="17">
        <v>132.6</v>
      </c>
      <c r="H120" s="18">
        <v>9.0999999999999998E-2</v>
      </c>
      <c r="I120" s="19">
        <v>3.75</v>
      </c>
      <c r="J120" s="19">
        <v>2</v>
      </c>
      <c r="K120" s="19">
        <v>0.83</v>
      </c>
      <c r="L120" s="20">
        <v>27</v>
      </c>
      <c r="M120" s="28">
        <v>44.544320999999997</v>
      </c>
      <c r="N120" s="28">
        <v>11.382828</v>
      </c>
      <c r="O120" s="26">
        <f>IF(COUNTA(C120:N120),IF(LEFT(E$4,1)="C",ZenithAngle(M120,N120,D120,$I$4),L120),"---")</f>
        <v>27</v>
      </c>
      <c r="P120" s="26">
        <f t="shared" si="8"/>
        <v>0.83</v>
      </c>
      <c r="Q120" s="26">
        <f t="shared" si="10"/>
        <v>0.75144198109754745</v>
      </c>
      <c r="R120" s="26">
        <f t="shared" si="11"/>
        <v>7.8230088495575223E-2</v>
      </c>
      <c r="S120" s="27">
        <f t="shared" si="12"/>
        <v>3.5088114392914878</v>
      </c>
      <c r="T120" s="2">
        <f t="shared" si="13"/>
        <v>0.92176991150442478</v>
      </c>
      <c r="U120" s="2">
        <f t="shared" si="14"/>
        <v>7.8230088495575227</v>
      </c>
      <c r="V120" s="2">
        <f t="shared" si="9"/>
        <v>8.7447787610619478</v>
      </c>
      <c r="W120" s="2">
        <v>0</v>
      </c>
      <c r="X120" s="2">
        <v>0</v>
      </c>
      <c r="Y120" s="2">
        <v>0</v>
      </c>
      <c r="Z120">
        <f t="shared" si="15"/>
        <v>0.23044247787610619</v>
      </c>
    </row>
    <row r="121" spans="1:26">
      <c r="A121" s="21" t="s">
        <v>11</v>
      </c>
      <c r="B121" s="2" t="s">
        <v>7</v>
      </c>
      <c r="C121" s="15" t="s">
        <v>32</v>
      </c>
      <c r="D121" s="16" t="s">
        <v>169</v>
      </c>
      <c r="E121" s="15"/>
      <c r="F121" s="17">
        <v>1651.4</v>
      </c>
      <c r="G121" s="17">
        <v>379.54999999999995</v>
      </c>
      <c r="H121" s="18">
        <v>9.0999999999999998E-2</v>
      </c>
      <c r="I121" s="19">
        <v>3.75</v>
      </c>
      <c r="J121" s="19">
        <v>2</v>
      </c>
      <c r="K121" s="19">
        <v>0.83</v>
      </c>
      <c r="L121" s="20">
        <v>27</v>
      </c>
      <c r="M121" s="28">
        <v>44.544320999999997</v>
      </c>
      <c r="N121" s="28">
        <v>11.382828</v>
      </c>
      <c r="O121" s="26">
        <f>IF(COUNTA(C121:N121),IF(LEFT(E$4,1)="C",ZenithAngle(M121,N121,D121,$I$4),L121),"---")</f>
        <v>27</v>
      </c>
      <c r="P121" s="26">
        <f t="shared" si="8"/>
        <v>0.83</v>
      </c>
      <c r="Q121" s="26">
        <f t="shared" si="10"/>
        <v>0.75144198109754745</v>
      </c>
      <c r="R121" s="26">
        <f t="shared" si="11"/>
        <v>0.22983529126801497</v>
      </c>
      <c r="S121" s="27">
        <f t="shared" si="12"/>
        <v>2.0247743792619688</v>
      </c>
      <c r="T121" s="2">
        <f t="shared" si="13"/>
        <v>0.77016470873198506</v>
      </c>
      <c r="U121" s="2">
        <f t="shared" si="14"/>
        <v>22.983529126801496</v>
      </c>
      <c r="V121" s="2">
        <f t="shared" si="9"/>
        <v>23.753693835533483</v>
      </c>
      <c r="W121" s="2">
        <v>0</v>
      </c>
      <c r="X121" s="2">
        <v>0</v>
      </c>
      <c r="Y121" s="2">
        <v>0</v>
      </c>
      <c r="Z121">
        <f t="shared" si="15"/>
        <v>0.19254117718299626</v>
      </c>
    </row>
    <row r="122" spans="1:26">
      <c r="A122" s="21" t="s">
        <v>11</v>
      </c>
      <c r="B122" s="2" t="s">
        <v>7</v>
      </c>
      <c r="C122" s="15" t="s">
        <v>32</v>
      </c>
      <c r="D122" s="16" t="s">
        <v>170</v>
      </c>
      <c r="E122" s="15"/>
      <c r="F122" s="17">
        <v>1801.7</v>
      </c>
      <c r="G122" s="17">
        <v>116.87499999999999</v>
      </c>
      <c r="H122" s="18">
        <v>9.0999999999999998E-2</v>
      </c>
      <c r="I122" s="19">
        <v>3.75</v>
      </c>
      <c r="J122" s="19">
        <v>2</v>
      </c>
      <c r="K122" s="19">
        <v>0.83</v>
      </c>
      <c r="L122" s="20">
        <v>27</v>
      </c>
      <c r="M122" s="28">
        <v>44.544320999999997</v>
      </c>
      <c r="N122" s="28">
        <v>11.382828</v>
      </c>
      <c r="O122" s="26">
        <f>IF(COUNTA(C122:N122),IF(LEFT(E$4,1)="C",ZenithAngle(M122,N122,D122,$I$4),L122),"---")</f>
        <v>27</v>
      </c>
      <c r="P122" s="26">
        <f t="shared" si="8"/>
        <v>0.83</v>
      </c>
      <c r="Q122" s="26">
        <f t="shared" si="10"/>
        <v>0.75144198109754745</v>
      </c>
      <c r="R122" s="26">
        <f t="shared" si="11"/>
        <v>6.4869290114891481E-2</v>
      </c>
      <c r="S122" s="27">
        <f t="shared" si="12"/>
        <v>3.7667016354536922</v>
      </c>
      <c r="T122" s="2">
        <f t="shared" si="13"/>
        <v>0.93513070988510849</v>
      </c>
      <c r="U122" s="2">
        <f t="shared" si="14"/>
        <v>6.4869290114891482</v>
      </c>
      <c r="V122" s="2">
        <f t="shared" si="9"/>
        <v>7.4220597213742572</v>
      </c>
      <c r="W122" s="2">
        <v>0</v>
      </c>
      <c r="X122" s="2">
        <v>0</v>
      </c>
      <c r="Y122" s="2">
        <v>0</v>
      </c>
      <c r="Z122">
        <f t="shared" si="15"/>
        <v>0.23378267747127712</v>
      </c>
    </row>
    <row r="123" spans="1:26">
      <c r="A123" s="21" t="s">
        <v>11</v>
      </c>
      <c r="B123" s="2" t="s">
        <v>7</v>
      </c>
      <c r="C123" s="15" t="s">
        <v>32</v>
      </c>
      <c r="D123" s="16" t="s">
        <v>171</v>
      </c>
      <c r="E123" s="15"/>
      <c r="F123" s="17">
        <v>1757.9</v>
      </c>
      <c r="G123" s="17">
        <v>140.55000000000001</v>
      </c>
      <c r="H123" s="18">
        <v>9.0999999999999998E-2</v>
      </c>
      <c r="I123" s="19">
        <v>3.75</v>
      </c>
      <c r="J123" s="19">
        <v>2</v>
      </c>
      <c r="K123" s="19">
        <v>0.83</v>
      </c>
      <c r="L123" s="20">
        <v>27</v>
      </c>
      <c r="M123" s="28">
        <v>44.544320999999997</v>
      </c>
      <c r="N123" s="28">
        <v>11.382828</v>
      </c>
      <c r="O123" s="26">
        <f>IF(COUNTA(C123:N123),IF(LEFT(E$4,1)="C",ZenithAngle(M123,N123,D123,$I$4),L123),"---")</f>
        <v>27</v>
      </c>
      <c r="P123" s="26">
        <f t="shared" si="8"/>
        <v>0.83</v>
      </c>
      <c r="Q123" s="26">
        <f t="shared" si="10"/>
        <v>0.75144198109754745</v>
      </c>
      <c r="R123" s="26">
        <f t="shared" si="11"/>
        <v>7.9953353433073554E-2</v>
      </c>
      <c r="S123" s="27">
        <f t="shared" si="12"/>
        <v>3.4788072698240451</v>
      </c>
      <c r="T123" s="2">
        <f t="shared" si="13"/>
        <v>0.92004664656692647</v>
      </c>
      <c r="U123" s="2">
        <f t="shared" si="14"/>
        <v>7.9953353433073557</v>
      </c>
      <c r="V123" s="2">
        <f t="shared" si="9"/>
        <v>8.9153819898742821</v>
      </c>
      <c r="W123" s="2">
        <v>0</v>
      </c>
      <c r="X123" s="2">
        <v>0</v>
      </c>
      <c r="Y123" s="2">
        <v>0</v>
      </c>
      <c r="Z123">
        <f t="shared" si="15"/>
        <v>0.23001166164173162</v>
      </c>
    </row>
    <row r="124" spans="1:26">
      <c r="A124" s="21" t="s">
        <v>11</v>
      </c>
      <c r="B124" s="2" t="s">
        <v>7</v>
      </c>
      <c r="C124" s="15" t="s">
        <v>32</v>
      </c>
      <c r="D124" s="16" t="s">
        <v>172</v>
      </c>
      <c r="E124" s="15"/>
      <c r="F124" s="17">
        <v>1806.7</v>
      </c>
      <c r="G124" s="17">
        <v>119.75</v>
      </c>
      <c r="H124" s="18">
        <v>9.0999999999999998E-2</v>
      </c>
      <c r="I124" s="19">
        <v>3.75</v>
      </c>
      <c r="J124" s="19">
        <v>2</v>
      </c>
      <c r="K124" s="19">
        <v>0.83</v>
      </c>
      <c r="L124" s="20">
        <v>27</v>
      </c>
      <c r="M124" s="28">
        <v>44.544320999999997</v>
      </c>
      <c r="N124" s="28">
        <v>11.382828</v>
      </c>
      <c r="O124" s="26">
        <f>IF(COUNTA(C124:N124),IF(LEFT(E$4,1)="C",ZenithAngle(M124,N124,D124,$I$4),L124),"---")</f>
        <v>27</v>
      </c>
      <c r="P124" s="26">
        <f t="shared" si="8"/>
        <v>0.83</v>
      </c>
      <c r="Q124" s="26">
        <f t="shared" si="10"/>
        <v>0.75144198109754745</v>
      </c>
      <c r="R124" s="26">
        <f t="shared" si="11"/>
        <v>6.6281064925001382E-2</v>
      </c>
      <c r="S124" s="27">
        <f t="shared" si="12"/>
        <v>3.7370542683472396</v>
      </c>
      <c r="T124" s="2">
        <f t="shared" si="13"/>
        <v>0.93371893507499859</v>
      </c>
      <c r="U124" s="2">
        <f t="shared" si="14"/>
        <v>6.6281064925001383</v>
      </c>
      <c r="V124" s="2">
        <f t="shared" si="9"/>
        <v>7.5618254275751369</v>
      </c>
      <c r="W124" s="2">
        <v>0</v>
      </c>
      <c r="X124" s="2">
        <v>0</v>
      </c>
      <c r="Y124" s="2">
        <v>0</v>
      </c>
      <c r="Z124">
        <f t="shared" si="15"/>
        <v>0.23342973376874965</v>
      </c>
    </row>
    <row r="125" spans="1:26">
      <c r="A125" s="21" t="s">
        <v>11</v>
      </c>
      <c r="B125" s="2" t="s">
        <v>7</v>
      </c>
      <c r="C125" s="15" t="s">
        <v>32</v>
      </c>
      <c r="D125" s="16" t="s">
        <v>173</v>
      </c>
      <c r="E125" s="15"/>
      <c r="F125" s="17">
        <v>1661.1</v>
      </c>
      <c r="G125" s="17">
        <v>177.8125</v>
      </c>
      <c r="H125" s="18">
        <v>9.0999999999999998E-2</v>
      </c>
      <c r="I125" s="19">
        <v>3.75</v>
      </c>
      <c r="J125" s="19">
        <v>2</v>
      </c>
      <c r="K125" s="19">
        <v>0.83</v>
      </c>
      <c r="L125" s="20">
        <v>27</v>
      </c>
      <c r="M125" s="28">
        <v>44.544320999999997</v>
      </c>
      <c r="N125" s="28">
        <v>11.382828</v>
      </c>
      <c r="O125" s="26">
        <f>IF(COUNTA(C125:N125),IF(LEFT(E$4,1)="C",ZenithAngle(M125,N125,D125,$I$4),L125),"---")</f>
        <v>27</v>
      </c>
      <c r="P125" s="26">
        <f t="shared" si="8"/>
        <v>0.83</v>
      </c>
      <c r="Q125" s="26">
        <f t="shared" si="10"/>
        <v>0.75144198109754745</v>
      </c>
      <c r="R125" s="26">
        <f t="shared" si="11"/>
        <v>0.10704503040154115</v>
      </c>
      <c r="S125" s="27">
        <f t="shared" si="12"/>
        <v>3.0769813669500952</v>
      </c>
      <c r="T125" s="2">
        <f t="shared" si="13"/>
        <v>0.89295496959845888</v>
      </c>
      <c r="U125" s="2">
        <f t="shared" si="14"/>
        <v>10.704503040154115</v>
      </c>
      <c r="V125" s="2">
        <f t="shared" si="9"/>
        <v>11.597458009752575</v>
      </c>
      <c r="W125" s="2">
        <v>0</v>
      </c>
      <c r="X125" s="2">
        <v>0</v>
      </c>
      <c r="Y125" s="2">
        <v>0</v>
      </c>
      <c r="Z125">
        <f t="shared" si="15"/>
        <v>0.22323874239961472</v>
      </c>
    </row>
    <row r="126" spans="1:26">
      <c r="A126" s="21" t="s">
        <v>11</v>
      </c>
      <c r="B126" s="2" t="s">
        <v>7</v>
      </c>
      <c r="C126" s="15" t="s">
        <v>32</v>
      </c>
      <c r="D126" s="16" t="s">
        <v>174</v>
      </c>
      <c r="E126" s="15"/>
      <c r="F126" s="17">
        <v>1625.6</v>
      </c>
      <c r="G126" s="17">
        <v>122.47500000000001</v>
      </c>
      <c r="H126" s="18">
        <v>9.0999999999999998E-2</v>
      </c>
      <c r="I126" s="19">
        <v>3.75</v>
      </c>
      <c r="J126" s="19">
        <v>2</v>
      </c>
      <c r="K126" s="19">
        <v>0.83</v>
      </c>
      <c r="L126" s="20">
        <v>27</v>
      </c>
      <c r="M126" s="28">
        <v>44.544320999999997</v>
      </c>
      <c r="N126" s="28">
        <v>11.382828</v>
      </c>
      <c r="O126" s="26">
        <f>IF(COUNTA(C126:N126),IF(LEFT(E$4,1)="C",ZenithAngle(M126,N126,D126,$I$4),L126),"---")</f>
        <v>27</v>
      </c>
      <c r="P126" s="26">
        <f t="shared" si="8"/>
        <v>0.83</v>
      </c>
      <c r="Q126" s="26">
        <f t="shared" si="10"/>
        <v>0.75144198109754745</v>
      </c>
      <c r="R126" s="26">
        <f t="shared" si="11"/>
        <v>7.5341412401574812E-2</v>
      </c>
      <c r="S126" s="27">
        <f t="shared" si="12"/>
        <v>3.5606213500050923</v>
      </c>
      <c r="T126" s="2">
        <f t="shared" si="13"/>
        <v>0.92465858759842523</v>
      </c>
      <c r="U126" s="2">
        <f t="shared" si="14"/>
        <v>7.5341412401574814</v>
      </c>
      <c r="V126" s="2">
        <f t="shared" si="9"/>
        <v>8.4587998277559073</v>
      </c>
      <c r="W126" s="2">
        <v>0</v>
      </c>
      <c r="X126" s="2">
        <v>0</v>
      </c>
      <c r="Y126" s="2">
        <v>0</v>
      </c>
      <c r="Z126">
        <f t="shared" si="15"/>
        <v>0.23116464689960631</v>
      </c>
    </row>
    <row r="127" spans="1:26">
      <c r="A127" s="21" t="s">
        <v>11</v>
      </c>
      <c r="B127" s="2" t="s">
        <v>8</v>
      </c>
      <c r="C127" s="15" t="s">
        <v>32</v>
      </c>
      <c r="D127" s="16" t="s">
        <v>175</v>
      </c>
      <c r="E127" s="15"/>
      <c r="F127" s="17">
        <v>1674.7</v>
      </c>
      <c r="G127" s="17">
        <v>178.46250000000003</v>
      </c>
      <c r="H127" s="18">
        <v>0.17799999999999999</v>
      </c>
      <c r="I127" s="19">
        <v>2.75</v>
      </c>
      <c r="J127" s="19">
        <v>2</v>
      </c>
      <c r="K127" s="19">
        <v>0.8</v>
      </c>
      <c r="L127" s="20">
        <v>27</v>
      </c>
      <c r="M127" s="28">
        <v>44.544320999999997</v>
      </c>
      <c r="N127" s="28">
        <v>11.382828</v>
      </c>
      <c r="O127" s="26">
        <f>IF(COUNTA(C127:N127),IF(LEFT(E$4,1)="C",ZenithAngle(M127,N127,D127,$I$4),L127),"---")</f>
        <v>27</v>
      </c>
      <c r="P127" s="26">
        <f t="shared" si="8"/>
        <v>0.8</v>
      </c>
      <c r="Q127" s="26">
        <f t="shared" si="10"/>
        <v>0.75144198109754745</v>
      </c>
      <c r="R127" s="26">
        <f t="shared" si="11"/>
        <v>0.10656386218427183</v>
      </c>
      <c r="S127" s="27">
        <f t="shared" si="12"/>
        <v>3.0553998559301192</v>
      </c>
      <c r="T127" s="2">
        <f t="shared" si="13"/>
        <v>0.89343613781572817</v>
      </c>
      <c r="U127" s="2">
        <f t="shared" si="14"/>
        <v>10.656386218427183</v>
      </c>
      <c r="V127" s="2">
        <f t="shared" si="9"/>
        <v>11.549822356242911</v>
      </c>
      <c r="W127" s="2">
        <v>0</v>
      </c>
      <c r="X127" s="2">
        <v>0</v>
      </c>
      <c r="Y127" s="2">
        <v>0</v>
      </c>
      <c r="Z127">
        <f t="shared" si="15"/>
        <v>0.22335903445393204</v>
      </c>
    </row>
    <row r="128" spans="1:26">
      <c r="A128" s="21" t="s">
        <v>11</v>
      </c>
      <c r="B128" s="2" t="s">
        <v>8</v>
      </c>
      <c r="C128" s="15" t="s">
        <v>32</v>
      </c>
      <c r="D128" s="16" t="s">
        <v>176</v>
      </c>
      <c r="E128" s="15"/>
      <c r="F128" s="17">
        <v>1730.7</v>
      </c>
      <c r="G128" s="17">
        <v>271.08749999999998</v>
      </c>
      <c r="H128" s="18">
        <v>0.17799999999999999</v>
      </c>
      <c r="I128" s="19">
        <v>2.75</v>
      </c>
      <c r="J128" s="19">
        <v>2</v>
      </c>
      <c r="K128" s="19">
        <v>0.8</v>
      </c>
      <c r="L128" s="20">
        <v>27</v>
      </c>
      <c r="M128" s="28">
        <v>44.544320999999997</v>
      </c>
      <c r="N128" s="28">
        <v>11.382828</v>
      </c>
      <c r="O128" s="26">
        <f>IF(COUNTA(C128:N128),IF(LEFT(E$4,1)="C",ZenithAngle(M128,N128,D128,$I$4),L128),"---")</f>
        <v>27</v>
      </c>
      <c r="P128" s="26">
        <f t="shared" si="8"/>
        <v>0.8</v>
      </c>
      <c r="Q128" s="26">
        <f t="shared" si="10"/>
        <v>0.75144198109754745</v>
      </c>
      <c r="R128" s="26">
        <f t="shared" si="11"/>
        <v>0.156634598717282</v>
      </c>
      <c r="S128" s="27">
        <f t="shared" si="12"/>
        <v>2.5297873159906672</v>
      </c>
      <c r="T128" s="2">
        <f t="shared" si="13"/>
        <v>0.84336540128271797</v>
      </c>
      <c r="U128" s="2">
        <f t="shared" si="14"/>
        <v>15.6634598717282</v>
      </c>
      <c r="V128" s="2">
        <f t="shared" si="9"/>
        <v>16.506825273010918</v>
      </c>
      <c r="W128" s="2">
        <v>0</v>
      </c>
      <c r="X128" s="2">
        <v>0</v>
      </c>
      <c r="Y128" s="2">
        <v>0</v>
      </c>
      <c r="Z128">
        <f t="shared" si="15"/>
        <v>0.21084135032067949</v>
      </c>
    </row>
    <row r="129" spans="1:26">
      <c r="A129" s="21" t="s">
        <v>11</v>
      </c>
      <c r="B129" s="2" t="s">
        <v>8</v>
      </c>
      <c r="C129" s="15" t="s">
        <v>32</v>
      </c>
      <c r="D129" s="16" t="s">
        <v>177</v>
      </c>
      <c r="E129" s="15"/>
      <c r="F129" s="17">
        <v>1666.9</v>
      </c>
      <c r="G129" s="17">
        <v>154.21250000000001</v>
      </c>
      <c r="H129" s="18">
        <v>0.17799999999999999</v>
      </c>
      <c r="I129" s="19">
        <v>2.75</v>
      </c>
      <c r="J129" s="19">
        <v>2</v>
      </c>
      <c r="K129" s="19">
        <v>0.8</v>
      </c>
      <c r="L129" s="20">
        <v>27</v>
      </c>
      <c r="M129" s="28">
        <v>44.544320999999997</v>
      </c>
      <c r="N129" s="28">
        <v>11.382828</v>
      </c>
      <c r="O129" s="26">
        <f>IF(COUNTA(C129:N129),IF(LEFT(E$4,1)="C",ZenithAngle(M129,N129,D129,$I$4),L129),"---")</f>
        <v>27</v>
      </c>
      <c r="P129" s="26">
        <f t="shared" si="8"/>
        <v>0.8</v>
      </c>
      <c r="Q129" s="26">
        <f t="shared" si="10"/>
        <v>0.75144198109754745</v>
      </c>
      <c r="R129" s="26">
        <f t="shared" si="11"/>
        <v>9.2514547963285135E-2</v>
      </c>
      <c r="S129" s="27">
        <f t="shared" si="12"/>
        <v>3.2483278999423431</v>
      </c>
      <c r="T129" s="2">
        <f t="shared" si="13"/>
        <v>0.90748545203671482</v>
      </c>
      <c r="U129" s="2">
        <f t="shared" si="14"/>
        <v>9.2514547963285132</v>
      </c>
      <c r="V129" s="2">
        <f t="shared" si="9"/>
        <v>10.158940248365228</v>
      </c>
      <c r="W129" s="2">
        <v>0</v>
      </c>
      <c r="X129" s="2">
        <v>0</v>
      </c>
      <c r="Y129" s="2">
        <v>0</v>
      </c>
      <c r="Z129">
        <f t="shared" si="15"/>
        <v>0.22687136300917871</v>
      </c>
    </row>
    <row r="130" spans="1:26">
      <c r="A130" s="21" t="s">
        <v>11</v>
      </c>
      <c r="B130" s="2" t="s">
        <v>8</v>
      </c>
      <c r="C130" s="15" t="s">
        <v>32</v>
      </c>
      <c r="D130" s="16" t="s">
        <v>178</v>
      </c>
      <c r="E130" s="15"/>
      <c r="F130" s="17">
        <v>1660.4</v>
      </c>
      <c r="G130" s="17">
        <v>297.14999999999998</v>
      </c>
      <c r="H130" s="18">
        <v>0.17799999999999999</v>
      </c>
      <c r="I130" s="19">
        <v>2.75</v>
      </c>
      <c r="J130" s="19">
        <v>2</v>
      </c>
      <c r="K130" s="19">
        <v>0.8</v>
      </c>
      <c r="L130" s="20">
        <v>27</v>
      </c>
      <c r="M130" s="28">
        <v>44.544320999999997</v>
      </c>
      <c r="N130" s="28">
        <v>11.382828</v>
      </c>
      <c r="O130" s="26">
        <f>IF(COUNTA(C130:N130),IF(LEFT(E$4,1)="C",ZenithAngle(M130,N130,D130,$I$4),L130),"---")</f>
        <v>27</v>
      </c>
      <c r="P130" s="26">
        <f t="shared" si="8"/>
        <v>0.8</v>
      </c>
      <c r="Q130" s="26">
        <f t="shared" si="10"/>
        <v>0.75144198109754745</v>
      </c>
      <c r="R130" s="26">
        <f t="shared" si="11"/>
        <v>0.17896290050590216</v>
      </c>
      <c r="S130" s="27">
        <f t="shared" si="12"/>
        <v>2.3479341413616264</v>
      </c>
      <c r="T130" s="2">
        <f t="shared" si="13"/>
        <v>0.82103709949409787</v>
      </c>
      <c r="U130" s="2">
        <f t="shared" si="14"/>
        <v>17.896290050590217</v>
      </c>
      <c r="V130" s="2">
        <f t="shared" si="9"/>
        <v>18.717327150084316</v>
      </c>
      <c r="W130" s="2">
        <v>0</v>
      </c>
      <c r="X130" s="2">
        <v>0</v>
      </c>
      <c r="Y130" s="2">
        <v>0</v>
      </c>
      <c r="Z130">
        <f t="shared" si="15"/>
        <v>0.20525927487352447</v>
      </c>
    </row>
    <row r="131" spans="1:26">
      <c r="A131" s="21" t="s">
        <v>11</v>
      </c>
      <c r="B131" s="2" t="s">
        <v>8</v>
      </c>
      <c r="C131" s="15" t="s">
        <v>32</v>
      </c>
      <c r="D131" s="16" t="s">
        <v>179</v>
      </c>
      <c r="E131" s="15"/>
      <c r="F131" s="17">
        <v>1708.1</v>
      </c>
      <c r="G131" s="17">
        <v>221.71249999999998</v>
      </c>
      <c r="H131" s="18">
        <v>0.17799999999999999</v>
      </c>
      <c r="I131" s="19">
        <v>2.75</v>
      </c>
      <c r="J131" s="19">
        <v>2</v>
      </c>
      <c r="K131" s="19">
        <v>0.8</v>
      </c>
      <c r="L131" s="20">
        <v>27</v>
      </c>
      <c r="M131" s="28">
        <v>44.544320999999997</v>
      </c>
      <c r="N131" s="28">
        <v>11.382828</v>
      </c>
      <c r="O131" s="26">
        <f>IF(COUNTA(C131:N131),IF(LEFT(E$4,1)="C",ZenithAngle(M131,N131,D131,$I$4),L131),"---")</f>
        <v>27</v>
      </c>
      <c r="P131" s="26">
        <f t="shared" si="8"/>
        <v>0.8</v>
      </c>
      <c r="Q131" s="26">
        <f t="shared" si="10"/>
        <v>0.75144198109754745</v>
      </c>
      <c r="R131" s="26">
        <f t="shared" si="11"/>
        <v>0.12980065569931501</v>
      </c>
      <c r="S131" s="27">
        <f t="shared" si="12"/>
        <v>2.7862211052604358</v>
      </c>
      <c r="T131" s="2">
        <f t="shared" si="13"/>
        <v>0.87019934430068502</v>
      </c>
      <c r="U131" s="2">
        <f t="shared" si="14"/>
        <v>12.980065569931501</v>
      </c>
      <c r="V131" s="2">
        <f t="shared" si="9"/>
        <v>13.850264914232186</v>
      </c>
      <c r="W131" s="2">
        <v>0</v>
      </c>
      <c r="X131" s="2">
        <v>0</v>
      </c>
      <c r="Y131" s="2">
        <v>0</v>
      </c>
      <c r="Z131">
        <f t="shared" si="15"/>
        <v>0.21754983607517125</v>
      </c>
    </row>
    <row r="132" spans="1:26">
      <c r="A132" s="21" t="s">
        <v>11</v>
      </c>
      <c r="B132" s="2" t="s">
        <v>8</v>
      </c>
      <c r="C132" s="15" t="s">
        <v>32</v>
      </c>
      <c r="D132" s="16" t="s">
        <v>180</v>
      </c>
      <c r="E132" s="15"/>
      <c r="F132" s="17">
        <v>1610.6</v>
      </c>
      <c r="G132" s="17">
        <v>357.2</v>
      </c>
      <c r="H132" s="18">
        <v>0.17799999999999999</v>
      </c>
      <c r="I132" s="19">
        <v>2.75</v>
      </c>
      <c r="J132" s="19">
        <v>2</v>
      </c>
      <c r="K132" s="19">
        <v>0.8</v>
      </c>
      <c r="L132" s="20">
        <v>27</v>
      </c>
      <c r="M132" s="28">
        <v>44.544320999999997</v>
      </c>
      <c r="N132" s="28">
        <v>11.382828</v>
      </c>
      <c r="O132" s="26">
        <f>IF(COUNTA(C132:N132),IF(LEFT(E$4,1)="C",ZenithAngle(M132,N132,D132,$I$4),L132),"---")</f>
        <v>27</v>
      </c>
      <c r="P132" s="26">
        <f t="shared" ref="P132:P195" si="16">IF(O132="---","---",IF(LEFT(E$5,1)="C",beamfraction(O132,F132),K132))</f>
        <v>0.8</v>
      </c>
      <c r="Q132" s="26">
        <f t="shared" si="10"/>
        <v>0.75144198109754745</v>
      </c>
      <c r="R132" s="26">
        <f t="shared" si="11"/>
        <v>0.22178070284366075</v>
      </c>
      <c r="S132" s="27">
        <f t="shared" si="12"/>
        <v>2.055208676671803</v>
      </c>
      <c r="T132" s="2">
        <f t="shared" si="13"/>
        <v>0.77821929715633931</v>
      </c>
      <c r="U132" s="2">
        <f t="shared" si="14"/>
        <v>22.178070284366076</v>
      </c>
      <c r="V132" s="2">
        <f t="shared" ref="V132:V195" si="17">T132+U132</f>
        <v>22.956289581522416</v>
      </c>
      <c r="W132" s="2">
        <v>0</v>
      </c>
      <c r="X132" s="2">
        <v>0</v>
      </c>
      <c r="Y132" s="2">
        <v>0</v>
      </c>
      <c r="Z132">
        <f t="shared" si="15"/>
        <v>0.19455482428908483</v>
      </c>
    </row>
    <row r="133" spans="1:26">
      <c r="A133" s="21" t="s">
        <v>11</v>
      </c>
      <c r="B133" s="2" t="s">
        <v>8</v>
      </c>
      <c r="C133" s="15" t="s">
        <v>32</v>
      </c>
      <c r="D133" s="16" t="s">
        <v>181</v>
      </c>
      <c r="E133" s="15"/>
      <c r="F133" s="17">
        <v>1639.4</v>
      </c>
      <c r="G133" s="17">
        <v>349.66250000000002</v>
      </c>
      <c r="H133" s="18">
        <v>0.17799999999999999</v>
      </c>
      <c r="I133" s="19">
        <v>2.75</v>
      </c>
      <c r="J133" s="19">
        <v>2</v>
      </c>
      <c r="K133" s="19">
        <v>0.8</v>
      </c>
      <c r="L133" s="20">
        <v>27</v>
      </c>
      <c r="M133" s="28">
        <v>44.544320999999997</v>
      </c>
      <c r="N133" s="28">
        <v>11.382828</v>
      </c>
      <c r="O133" s="26">
        <f>IF(COUNTA(C133:N133),IF(LEFT(E$4,1)="C",ZenithAngle(M133,N133,D133,$I$4),L133),"---")</f>
        <v>27</v>
      </c>
      <c r="P133" s="26">
        <f t="shared" si="16"/>
        <v>0.8</v>
      </c>
      <c r="Q133" s="26">
        <f t="shared" ref="Q133:Q196" si="18">IF(O133="---","---",SQRT(J133^2+(TAN(RADIANS(O133)))^2)/(J133+1.744*(J133+1.182)^(-0.733)))</f>
        <v>0.75144198109754745</v>
      </c>
      <c r="R133" s="26">
        <f t="shared" ref="R133:R196" si="19">IF(O133="---","---",G133/F133)</f>
        <v>0.21328687324630963</v>
      </c>
      <c r="S133" s="27">
        <f t="shared" ref="S133:S196" si="20">IF(O133="---","---",((1-1/(2*Q133))*P133-1)*LN(R133)/(0.86*(1-0.47*P133)))</f>
        <v>2.1084984492936769</v>
      </c>
      <c r="T133" s="2">
        <f t="shared" ref="T133:T196" si="21">(1-(G133/F133))</f>
        <v>0.78671312675369043</v>
      </c>
      <c r="U133" s="2">
        <f t="shared" ref="U133:U196" si="22">G133/F133*100</f>
        <v>21.328687324630963</v>
      </c>
      <c r="V133" s="2">
        <f t="shared" si="17"/>
        <v>22.115400451384652</v>
      </c>
      <c r="W133" s="2">
        <v>0</v>
      </c>
      <c r="X133" s="2">
        <v>0</v>
      </c>
      <c r="Y133" s="2">
        <v>0</v>
      </c>
      <c r="Z133">
        <f t="shared" ref="Z133:Z196" si="23">AVERAGE(T133,W133:Y133)</f>
        <v>0.19667828168842261</v>
      </c>
    </row>
    <row r="134" spans="1:26">
      <c r="A134" s="21" t="s">
        <v>11</v>
      </c>
      <c r="B134" s="2" t="s">
        <v>8</v>
      </c>
      <c r="C134" s="15" t="s">
        <v>32</v>
      </c>
      <c r="D134" s="16" t="s">
        <v>182</v>
      </c>
      <c r="E134" s="15"/>
      <c r="F134" s="17">
        <v>1680.9</v>
      </c>
      <c r="G134" s="17">
        <v>455.47499999999991</v>
      </c>
      <c r="H134" s="18">
        <v>0.17799999999999999</v>
      </c>
      <c r="I134" s="19">
        <v>2.75</v>
      </c>
      <c r="J134" s="19">
        <v>2</v>
      </c>
      <c r="K134" s="19">
        <v>0.8</v>
      </c>
      <c r="L134" s="20">
        <v>27</v>
      </c>
      <c r="M134" s="28">
        <v>44.544320999999997</v>
      </c>
      <c r="N134" s="28">
        <v>11.382828</v>
      </c>
      <c r="O134" s="26">
        <f>IF(COUNTA(C134:N134),IF(LEFT(E$4,1)="C",ZenithAngle(M134,N134,D134,$I$4),L134),"---")</f>
        <v>27</v>
      </c>
      <c r="P134" s="26">
        <f t="shared" si="16"/>
        <v>0.8</v>
      </c>
      <c r="Q134" s="26">
        <f t="shared" si="18"/>
        <v>0.75144198109754745</v>
      </c>
      <c r="R134" s="26">
        <f t="shared" si="19"/>
        <v>0.27097090844190608</v>
      </c>
      <c r="S134" s="27">
        <f t="shared" si="20"/>
        <v>1.7818446460675434</v>
      </c>
      <c r="T134" s="2">
        <f t="shared" si="21"/>
        <v>0.72902909155809392</v>
      </c>
      <c r="U134" s="2">
        <f t="shared" si="22"/>
        <v>27.097090844190607</v>
      </c>
      <c r="V134" s="2">
        <f t="shared" si="17"/>
        <v>27.8261199357487</v>
      </c>
      <c r="W134" s="2">
        <v>0</v>
      </c>
      <c r="X134" s="2">
        <v>0</v>
      </c>
      <c r="Y134" s="2">
        <v>0</v>
      </c>
      <c r="Z134">
        <f t="shared" si="23"/>
        <v>0.18225727288952348</v>
      </c>
    </row>
    <row r="135" spans="1:26">
      <c r="A135" s="21" t="s">
        <v>11</v>
      </c>
      <c r="B135" s="2" t="s">
        <v>8</v>
      </c>
      <c r="C135" s="15" t="s">
        <v>32</v>
      </c>
      <c r="D135" s="16" t="s">
        <v>183</v>
      </c>
      <c r="E135" s="15"/>
      <c r="F135" s="17">
        <v>1671.9</v>
      </c>
      <c r="G135" s="17">
        <v>408.58750000000003</v>
      </c>
      <c r="H135" s="18">
        <v>0.17799999999999999</v>
      </c>
      <c r="I135" s="19">
        <v>2.75</v>
      </c>
      <c r="J135" s="19">
        <v>2</v>
      </c>
      <c r="K135" s="19">
        <v>0.8</v>
      </c>
      <c r="L135" s="20">
        <v>27</v>
      </c>
      <c r="M135" s="28">
        <v>44.544320999999997</v>
      </c>
      <c r="N135" s="28">
        <v>11.382828</v>
      </c>
      <c r="O135" s="26">
        <f>IF(COUNTA(C135:N135),IF(LEFT(E$4,1)="C",ZenithAngle(M135,N135,D135,$I$4),L135),"---")</f>
        <v>27</v>
      </c>
      <c r="P135" s="26">
        <f t="shared" si="16"/>
        <v>0.8</v>
      </c>
      <c r="Q135" s="26">
        <f t="shared" si="18"/>
        <v>0.75144198109754745</v>
      </c>
      <c r="R135" s="26">
        <f t="shared" si="19"/>
        <v>0.24438513068963455</v>
      </c>
      <c r="S135" s="27">
        <f t="shared" si="20"/>
        <v>1.9227636467197333</v>
      </c>
      <c r="T135" s="2">
        <f t="shared" si="21"/>
        <v>0.75561486931036548</v>
      </c>
      <c r="U135" s="2">
        <f t="shared" si="22"/>
        <v>24.438513068963456</v>
      </c>
      <c r="V135" s="2">
        <f t="shared" si="17"/>
        <v>25.194127938273823</v>
      </c>
      <c r="W135" s="2">
        <v>0</v>
      </c>
      <c r="X135" s="2">
        <v>0</v>
      </c>
      <c r="Y135" s="2">
        <v>0</v>
      </c>
      <c r="Z135">
        <f t="shared" si="23"/>
        <v>0.18890371732759137</v>
      </c>
    </row>
    <row r="136" spans="1:26">
      <c r="A136" s="21" t="s">
        <v>11</v>
      </c>
      <c r="B136" s="2" t="s">
        <v>8</v>
      </c>
      <c r="C136" s="15" t="s">
        <v>32</v>
      </c>
      <c r="D136" s="16" t="s">
        <v>184</v>
      </c>
      <c r="E136" s="15"/>
      <c r="F136" s="17">
        <v>1565.5</v>
      </c>
      <c r="G136" s="17">
        <v>265.23750000000001</v>
      </c>
      <c r="H136" s="18">
        <v>0.17799999999999999</v>
      </c>
      <c r="I136" s="19">
        <v>2.75</v>
      </c>
      <c r="J136" s="19">
        <v>2</v>
      </c>
      <c r="K136" s="19">
        <v>0.8</v>
      </c>
      <c r="L136" s="20">
        <v>27</v>
      </c>
      <c r="M136" s="28">
        <v>44.544320999999997</v>
      </c>
      <c r="N136" s="28">
        <v>11.382828</v>
      </c>
      <c r="O136" s="26">
        <f>IF(COUNTA(C136:N136),IF(LEFT(E$4,1)="C",ZenithAngle(M136,N136,D136,$I$4),L136),"---")</f>
        <v>27</v>
      </c>
      <c r="P136" s="26">
        <f t="shared" si="16"/>
        <v>0.8</v>
      </c>
      <c r="Q136" s="26">
        <f t="shared" si="18"/>
        <v>0.75144198109754745</v>
      </c>
      <c r="R136" s="26">
        <f t="shared" si="19"/>
        <v>0.1694267007345896</v>
      </c>
      <c r="S136" s="27">
        <f t="shared" si="20"/>
        <v>2.4226582100358831</v>
      </c>
      <c r="T136" s="2">
        <f t="shared" si="21"/>
        <v>0.83057329926541046</v>
      </c>
      <c r="U136" s="2">
        <f t="shared" si="22"/>
        <v>16.942670073458959</v>
      </c>
      <c r="V136" s="2">
        <f t="shared" si="17"/>
        <v>17.773243372724369</v>
      </c>
      <c r="W136" s="2">
        <v>0</v>
      </c>
      <c r="X136" s="2">
        <v>0</v>
      </c>
      <c r="Y136" s="2">
        <v>0</v>
      </c>
      <c r="Z136">
        <f t="shared" si="23"/>
        <v>0.20764332481635261</v>
      </c>
    </row>
    <row r="137" spans="1:26">
      <c r="A137" s="21" t="s">
        <v>11</v>
      </c>
      <c r="B137" s="2" t="s">
        <v>9</v>
      </c>
      <c r="C137" s="15" t="s">
        <v>32</v>
      </c>
      <c r="D137" s="16" t="s">
        <v>185</v>
      </c>
      <c r="E137" s="15"/>
      <c r="F137" s="17">
        <v>1607.8</v>
      </c>
      <c r="G137" s="17">
        <v>180.68750000000003</v>
      </c>
      <c r="H137" s="18">
        <v>0.14899999999999999</v>
      </c>
      <c r="I137" s="19">
        <v>3.12</v>
      </c>
      <c r="J137" s="19">
        <v>2</v>
      </c>
      <c r="K137" s="19">
        <v>0.85</v>
      </c>
      <c r="L137" s="20">
        <v>27</v>
      </c>
      <c r="M137" s="28">
        <v>44.544320999999997</v>
      </c>
      <c r="N137" s="28">
        <v>11.382828</v>
      </c>
      <c r="O137" s="26">
        <f>IF(COUNTA(C137:N137),IF(LEFT(E$4,1)="C",ZenithAngle(M137,N137,D137,$I$4),L137),"---")</f>
        <v>27</v>
      </c>
      <c r="P137" s="26">
        <f t="shared" si="16"/>
        <v>0.85</v>
      </c>
      <c r="Q137" s="26">
        <f t="shared" si="18"/>
        <v>0.75144198109754745</v>
      </c>
      <c r="R137" s="26">
        <f t="shared" si="19"/>
        <v>0.11238182609777338</v>
      </c>
      <c r="S137" s="27">
        <f t="shared" si="20"/>
        <v>3.0287766104519256</v>
      </c>
      <c r="T137" s="2">
        <f t="shared" si="21"/>
        <v>0.88761817390222664</v>
      </c>
      <c r="U137" s="2">
        <f t="shared" si="22"/>
        <v>11.238182609777338</v>
      </c>
      <c r="V137" s="2">
        <f t="shared" si="17"/>
        <v>12.125800783679566</v>
      </c>
      <c r="W137" s="2">
        <v>0</v>
      </c>
      <c r="X137" s="2">
        <v>0</v>
      </c>
      <c r="Y137" s="2">
        <v>0</v>
      </c>
      <c r="Z137">
        <f t="shared" si="23"/>
        <v>0.22190454347555666</v>
      </c>
    </row>
    <row r="138" spans="1:26">
      <c r="A138" s="21" t="s">
        <v>11</v>
      </c>
      <c r="B138" s="2" t="s">
        <v>9</v>
      </c>
      <c r="C138" s="15" t="s">
        <v>32</v>
      </c>
      <c r="D138" s="16" t="s">
        <v>186</v>
      </c>
      <c r="E138" s="15"/>
      <c r="F138" s="17">
        <v>1606.2</v>
      </c>
      <c r="G138" s="17">
        <v>490.49999999999994</v>
      </c>
      <c r="H138" s="18">
        <v>0.14899999999999999</v>
      </c>
      <c r="I138" s="19">
        <v>3.12</v>
      </c>
      <c r="J138" s="19">
        <v>2</v>
      </c>
      <c r="K138" s="19">
        <v>0.85</v>
      </c>
      <c r="L138" s="20">
        <v>27</v>
      </c>
      <c r="M138" s="28">
        <v>44.544320999999997</v>
      </c>
      <c r="N138" s="28">
        <v>11.382828</v>
      </c>
      <c r="O138" s="26">
        <f>IF(COUNTA(C138:N138),IF(LEFT(E$4,1)="C",ZenithAngle(M138,N138,D138,$I$4),L138),"---")</f>
        <v>27</v>
      </c>
      <c r="P138" s="26">
        <f t="shared" si="16"/>
        <v>0.85</v>
      </c>
      <c r="Q138" s="26">
        <f t="shared" si="18"/>
        <v>0.75144198109754745</v>
      </c>
      <c r="R138" s="26">
        <f t="shared" si="19"/>
        <v>0.30537915577138586</v>
      </c>
      <c r="S138" s="27">
        <f t="shared" si="20"/>
        <v>1.6436321188475123</v>
      </c>
      <c r="T138" s="2">
        <f t="shared" si="21"/>
        <v>0.69462084422861414</v>
      </c>
      <c r="U138" s="2">
        <f t="shared" si="22"/>
        <v>30.537915577138584</v>
      </c>
      <c r="V138" s="2">
        <f t="shared" si="17"/>
        <v>31.232536421367197</v>
      </c>
      <c r="W138" s="2">
        <v>0</v>
      </c>
      <c r="X138" s="2">
        <v>0</v>
      </c>
      <c r="Y138" s="2">
        <v>0</v>
      </c>
      <c r="Z138">
        <f t="shared" si="23"/>
        <v>0.17365521105715354</v>
      </c>
    </row>
    <row r="139" spans="1:26">
      <c r="A139" s="21" t="s">
        <v>11</v>
      </c>
      <c r="B139" s="2" t="s">
        <v>9</v>
      </c>
      <c r="C139" s="15" t="s">
        <v>32</v>
      </c>
      <c r="D139" s="16" t="s">
        <v>187</v>
      </c>
      <c r="E139" s="15"/>
      <c r="F139" s="17">
        <v>1637.3</v>
      </c>
      <c r="G139" s="17">
        <v>138.67499999999998</v>
      </c>
      <c r="H139" s="18">
        <v>0.14899999999999999</v>
      </c>
      <c r="I139" s="19">
        <v>3.12</v>
      </c>
      <c r="J139" s="19">
        <v>2</v>
      </c>
      <c r="K139" s="19">
        <v>0.85</v>
      </c>
      <c r="L139" s="20">
        <v>27</v>
      </c>
      <c r="M139" s="28">
        <v>44.544320999999997</v>
      </c>
      <c r="N139" s="28">
        <v>11.382828</v>
      </c>
      <c r="O139" s="26">
        <f>IF(COUNTA(C139:N139),IF(LEFT(E$4,1)="C",ZenithAngle(M139,N139,D139,$I$4),L139),"---")</f>
        <v>27</v>
      </c>
      <c r="P139" s="26">
        <f t="shared" si="16"/>
        <v>0.85</v>
      </c>
      <c r="Q139" s="26">
        <f t="shared" si="18"/>
        <v>0.75144198109754745</v>
      </c>
      <c r="R139" s="26">
        <f t="shared" si="19"/>
        <v>8.4697367617418917E-2</v>
      </c>
      <c r="S139" s="27">
        <f t="shared" si="20"/>
        <v>3.4206564192112059</v>
      </c>
      <c r="T139" s="2">
        <f t="shared" si="21"/>
        <v>0.91530263238258103</v>
      </c>
      <c r="U139" s="2">
        <f t="shared" si="22"/>
        <v>8.4697367617418919</v>
      </c>
      <c r="V139" s="2">
        <f t="shared" si="17"/>
        <v>9.3850393941244725</v>
      </c>
      <c r="W139" s="2">
        <v>0</v>
      </c>
      <c r="X139" s="2">
        <v>0</v>
      </c>
      <c r="Y139" s="2">
        <v>0</v>
      </c>
      <c r="Z139">
        <f t="shared" si="23"/>
        <v>0.22882565809564526</v>
      </c>
    </row>
    <row r="140" spans="1:26">
      <c r="A140" s="21" t="s">
        <v>11</v>
      </c>
      <c r="B140" s="2" t="s">
        <v>9</v>
      </c>
      <c r="C140" s="15" t="s">
        <v>32</v>
      </c>
      <c r="D140" s="16" t="s">
        <v>188</v>
      </c>
      <c r="E140" s="15"/>
      <c r="F140" s="17">
        <v>1752.5</v>
      </c>
      <c r="G140" s="17">
        <v>127.35000000000001</v>
      </c>
      <c r="H140" s="18">
        <v>0.14899999999999999</v>
      </c>
      <c r="I140" s="19">
        <v>3.12</v>
      </c>
      <c r="J140" s="19">
        <v>2</v>
      </c>
      <c r="K140" s="19">
        <v>0.85</v>
      </c>
      <c r="L140" s="20">
        <v>27</v>
      </c>
      <c r="M140" s="28">
        <v>44.544320999999997</v>
      </c>
      <c r="N140" s="28">
        <v>11.382828</v>
      </c>
      <c r="O140" s="26">
        <f>IF(COUNTA(C140:N140),IF(LEFT(E$4,1)="C",ZenithAngle(M140,N140,D140,$I$4),L140),"---")</f>
        <v>27</v>
      </c>
      <c r="P140" s="26">
        <f t="shared" si="16"/>
        <v>0.85</v>
      </c>
      <c r="Q140" s="26">
        <f t="shared" si="18"/>
        <v>0.75144198109754745</v>
      </c>
      <c r="R140" s="26">
        <f t="shared" si="19"/>
        <v>7.2667617689015696E-2</v>
      </c>
      <c r="S140" s="27">
        <f t="shared" si="20"/>
        <v>3.6329187366634068</v>
      </c>
      <c r="T140" s="2">
        <f t="shared" si="21"/>
        <v>0.92733238231098425</v>
      </c>
      <c r="U140" s="2">
        <f t="shared" si="22"/>
        <v>7.2667617689015698</v>
      </c>
      <c r="V140" s="2">
        <f t="shared" si="17"/>
        <v>8.1940941512125534</v>
      </c>
      <c r="W140" s="2">
        <v>0</v>
      </c>
      <c r="X140" s="2">
        <v>0</v>
      </c>
      <c r="Y140" s="2">
        <v>0</v>
      </c>
      <c r="Z140">
        <f t="shared" si="23"/>
        <v>0.23183309557774606</v>
      </c>
    </row>
    <row r="141" spans="1:26">
      <c r="A141" s="21" t="s">
        <v>11</v>
      </c>
      <c r="B141" s="2" t="s">
        <v>9</v>
      </c>
      <c r="C141" s="15" t="s">
        <v>32</v>
      </c>
      <c r="D141" s="16" t="s">
        <v>189</v>
      </c>
      <c r="E141" s="15"/>
      <c r="F141" s="17">
        <v>1664.9</v>
      </c>
      <c r="G141" s="17">
        <v>112.05000000000001</v>
      </c>
      <c r="H141" s="18">
        <v>0.14899999999999999</v>
      </c>
      <c r="I141" s="19">
        <v>3.12</v>
      </c>
      <c r="J141" s="19">
        <v>2</v>
      </c>
      <c r="K141" s="19">
        <v>0.85</v>
      </c>
      <c r="L141" s="20">
        <v>27</v>
      </c>
      <c r="M141" s="28">
        <v>44.544320999999997</v>
      </c>
      <c r="N141" s="28">
        <v>11.382828</v>
      </c>
      <c r="O141" s="26">
        <f>IF(COUNTA(C141:N141),IF(LEFT(E$4,1)="C",ZenithAngle(M141,N141,D141,$I$4),L141),"---")</f>
        <v>27</v>
      </c>
      <c r="P141" s="26">
        <f t="shared" si="16"/>
        <v>0.85</v>
      </c>
      <c r="Q141" s="26">
        <f t="shared" si="18"/>
        <v>0.75144198109754745</v>
      </c>
      <c r="R141" s="26">
        <f t="shared" si="19"/>
        <v>6.7301339419784972E-2</v>
      </c>
      <c r="S141" s="27">
        <f t="shared" si="20"/>
        <v>3.7392180999981237</v>
      </c>
      <c r="T141" s="2">
        <f t="shared" si="21"/>
        <v>0.932698660580215</v>
      </c>
      <c r="U141" s="2">
        <f t="shared" si="22"/>
        <v>6.7301339419784973</v>
      </c>
      <c r="V141" s="2">
        <f t="shared" si="17"/>
        <v>7.6628326025587121</v>
      </c>
      <c r="W141" s="2">
        <v>0</v>
      </c>
      <c r="X141" s="2">
        <v>0</v>
      </c>
      <c r="Y141" s="2">
        <v>0</v>
      </c>
      <c r="Z141">
        <f t="shared" si="23"/>
        <v>0.23317466514505375</v>
      </c>
    </row>
    <row r="142" spans="1:26">
      <c r="A142" s="21" t="s">
        <v>11</v>
      </c>
      <c r="B142" s="2" t="s">
        <v>9</v>
      </c>
      <c r="C142" s="15" t="s">
        <v>32</v>
      </c>
      <c r="D142" s="16" t="s">
        <v>190</v>
      </c>
      <c r="E142" s="15"/>
      <c r="F142" s="17">
        <v>1750.5</v>
      </c>
      <c r="G142" s="17">
        <v>179.71250000000001</v>
      </c>
      <c r="H142" s="18">
        <v>0.14899999999999999</v>
      </c>
      <c r="I142" s="19">
        <v>3.12</v>
      </c>
      <c r="J142" s="19">
        <v>2</v>
      </c>
      <c r="K142" s="19">
        <v>0.85</v>
      </c>
      <c r="L142" s="20">
        <v>27</v>
      </c>
      <c r="M142" s="28">
        <v>44.544320999999997</v>
      </c>
      <c r="N142" s="28">
        <v>11.382828</v>
      </c>
      <c r="O142" s="26">
        <f>IF(COUNTA(C142:N142),IF(LEFT(E$4,1)="C",ZenithAngle(M142,N142,D142,$I$4),L142),"---")</f>
        <v>27</v>
      </c>
      <c r="P142" s="26">
        <f t="shared" si="16"/>
        <v>0.85</v>
      </c>
      <c r="Q142" s="26">
        <f t="shared" si="18"/>
        <v>0.75144198109754745</v>
      </c>
      <c r="R142" s="26">
        <f t="shared" si="19"/>
        <v>0.10266352470722651</v>
      </c>
      <c r="S142" s="27">
        <f t="shared" si="20"/>
        <v>3.1541001059037708</v>
      </c>
      <c r="T142" s="2">
        <f t="shared" si="21"/>
        <v>0.89733647529277349</v>
      </c>
      <c r="U142" s="2">
        <f t="shared" si="22"/>
        <v>10.266352470722651</v>
      </c>
      <c r="V142" s="2">
        <f t="shared" si="17"/>
        <v>11.163688946015425</v>
      </c>
      <c r="W142" s="2">
        <v>0</v>
      </c>
      <c r="X142" s="2">
        <v>0</v>
      </c>
      <c r="Y142" s="2">
        <v>0</v>
      </c>
      <c r="Z142">
        <f t="shared" si="23"/>
        <v>0.22433411882319337</v>
      </c>
    </row>
    <row r="143" spans="1:26">
      <c r="A143" s="21" t="s">
        <v>11</v>
      </c>
      <c r="B143" s="2" t="s">
        <v>9</v>
      </c>
      <c r="C143" s="15" t="s">
        <v>32</v>
      </c>
      <c r="D143" s="16" t="s">
        <v>191</v>
      </c>
      <c r="E143" s="15"/>
      <c r="F143" s="17">
        <v>1666.3</v>
      </c>
      <c r="G143" s="17">
        <v>179</v>
      </c>
      <c r="H143" s="18">
        <v>0.14899999999999999</v>
      </c>
      <c r="I143" s="19">
        <v>3.12</v>
      </c>
      <c r="J143" s="19">
        <v>2</v>
      </c>
      <c r="K143" s="19">
        <v>0.85</v>
      </c>
      <c r="L143" s="20">
        <v>27</v>
      </c>
      <c r="M143" s="28">
        <v>44.544320999999997</v>
      </c>
      <c r="N143" s="28">
        <v>11.382828</v>
      </c>
      <c r="O143" s="26">
        <f>IF(COUNTA(C143:N143),IF(LEFT(E$4,1)="C",ZenithAngle(M143,N143,D143,$I$4),L143),"---")</f>
        <v>27</v>
      </c>
      <c r="P143" s="26">
        <f t="shared" si="16"/>
        <v>0.85</v>
      </c>
      <c r="Q143" s="26">
        <f t="shared" si="18"/>
        <v>0.75144198109754745</v>
      </c>
      <c r="R143" s="26">
        <f t="shared" si="19"/>
        <v>0.10742363319930386</v>
      </c>
      <c r="S143" s="27">
        <f t="shared" si="20"/>
        <v>3.0912989035982186</v>
      </c>
      <c r="T143" s="2">
        <f t="shared" si="21"/>
        <v>0.89257636680069619</v>
      </c>
      <c r="U143" s="2">
        <f t="shared" si="22"/>
        <v>10.742363319930385</v>
      </c>
      <c r="V143" s="2">
        <f t="shared" si="17"/>
        <v>11.634939686731082</v>
      </c>
      <c r="W143" s="2">
        <v>0</v>
      </c>
      <c r="X143" s="2">
        <v>0</v>
      </c>
      <c r="Y143" s="2">
        <v>0</v>
      </c>
      <c r="Z143">
        <f t="shared" si="23"/>
        <v>0.22314409170017405</v>
      </c>
    </row>
    <row r="144" spans="1:26">
      <c r="A144" s="21" t="s">
        <v>11</v>
      </c>
      <c r="B144" s="2" t="s">
        <v>9</v>
      </c>
      <c r="C144" s="15" t="s">
        <v>32</v>
      </c>
      <c r="D144" s="16" t="s">
        <v>192</v>
      </c>
      <c r="E144" s="15"/>
      <c r="F144" s="17">
        <v>1714.4</v>
      </c>
      <c r="G144" s="17">
        <v>122.07499999999999</v>
      </c>
      <c r="H144" s="18">
        <v>0.14899999999999999</v>
      </c>
      <c r="I144" s="19">
        <v>3.12</v>
      </c>
      <c r="J144" s="19">
        <v>2</v>
      </c>
      <c r="K144" s="19">
        <v>0.85</v>
      </c>
      <c r="L144" s="20">
        <v>27</v>
      </c>
      <c r="M144" s="28">
        <v>44.544320999999997</v>
      </c>
      <c r="N144" s="28">
        <v>11.382828</v>
      </c>
      <c r="O144" s="26">
        <f>IF(COUNTA(C144:N144),IF(LEFT(E$4,1)="C",ZenithAngle(M144,N144,D144,$I$4),L144),"---")</f>
        <v>27</v>
      </c>
      <c r="P144" s="26">
        <f t="shared" si="16"/>
        <v>0.85</v>
      </c>
      <c r="Q144" s="26">
        <f t="shared" si="18"/>
        <v>0.75144198109754745</v>
      </c>
      <c r="R144" s="26">
        <f t="shared" si="19"/>
        <v>7.1205669622025194E-2</v>
      </c>
      <c r="S144" s="27">
        <f t="shared" si="20"/>
        <v>3.6610794080301297</v>
      </c>
      <c r="T144" s="2">
        <f t="shared" si="21"/>
        <v>0.92879433037797476</v>
      </c>
      <c r="U144" s="2">
        <f t="shared" si="22"/>
        <v>7.1205669622025196</v>
      </c>
      <c r="V144" s="2">
        <f t="shared" si="17"/>
        <v>8.0493612925804943</v>
      </c>
      <c r="W144" s="2">
        <v>0</v>
      </c>
      <c r="X144" s="2">
        <v>0</v>
      </c>
      <c r="Y144" s="2">
        <v>0</v>
      </c>
      <c r="Z144">
        <f t="shared" si="23"/>
        <v>0.23219858259449369</v>
      </c>
    </row>
    <row r="145" spans="1:26">
      <c r="A145" s="21" t="s">
        <v>11</v>
      </c>
      <c r="B145" s="2" t="s">
        <v>9</v>
      </c>
      <c r="C145" s="15" t="s">
        <v>32</v>
      </c>
      <c r="D145" s="16" t="s">
        <v>193</v>
      </c>
      <c r="E145" s="15"/>
      <c r="F145" s="17">
        <v>1774.9</v>
      </c>
      <c r="G145" s="17">
        <v>312.47499999999997</v>
      </c>
      <c r="H145" s="18">
        <v>0.14899999999999999</v>
      </c>
      <c r="I145" s="19">
        <v>3.12</v>
      </c>
      <c r="J145" s="19">
        <v>2</v>
      </c>
      <c r="K145" s="19">
        <v>0.85</v>
      </c>
      <c r="L145" s="20">
        <v>27</v>
      </c>
      <c r="M145" s="28">
        <v>44.544320999999997</v>
      </c>
      <c r="N145" s="28">
        <v>11.382828</v>
      </c>
      <c r="O145" s="26">
        <f>IF(COUNTA(C145:N145),IF(LEFT(E$4,1)="C",ZenithAngle(M145,N145,D145,$I$4),L145),"---")</f>
        <v>27</v>
      </c>
      <c r="P145" s="26">
        <f t="shared" si="16"/>
        <v>0.85</v>
      </c>
      <c r="Q145" s="26">
        <f t="shared" si="18"/>
        <v>0.75144198109754745</v>
      </c>
      <c r="R145" s="26">
        <f t="shared" si="19"/>
        <v>0.17605217195334946</v>
      </c>
      <c r="S145" s="27">
        <f t="shared" si="20"/>
        <v>2.4067990083178978</v>
      </c>
      <c r="T145" s="2">
        <f t="shared" si="21"/>
        <v>0.82394782804665057</v>
      </c>
      <c r="U145" s="2">
        <f t="shared" si="22"/>
        <v>17.605217195334948</v>
      </c>
      <c r="V145" s="2">
        <f t="shared" si="17"/>
        <v>18.4291650233816</v>
      </c>
      <c r="W145" s="2">
        <v>0</v>
      </c>
      <c r="X145" s="2">
        <v>0</v>
      </c>
      <c r="Y145" s="2">
        <v>0</v>
      </c>
      <c r="Z145">
        <f t="shared" si="23"/>
        <v>0.20598695701166264</v>
      </c>
    </row>
    <row r="146" spans="1:26">
      <c r="A146" s="21" t="s">
        <v>11</v>
      </c>
      <c r="B146" s="2" t="s">
        <v>9</v>
      </c>
      <c r="C146" s="15" t="s">
        <v>32</v>
      </c>
      <c r="D146" s="16" t="s">
        <v>194</v>
      </c>
      <c r="E146" s="15"/>
      <c r="F146" s="17">
        <v>1686.1</v>
      </c>
      <c r="G146" s="17">
        <v>662.42500000000007</v>
      </c>
      <c r="H146" s="18">
        <v>0.14899999999999999</v>
      </c>
      <c r="I146" s="19">
        <v>3.12</v>
      </c>
      <c r="J146" s="19">
        <v>2</v>
      </c>
      <c r="K146" s="19">
        <v>0.85</v>
      </c>
      <c r="L146" s="20">
        <v>27</v>
      </c>
      <c r="M146" s="28">
        <v>44.544320999999997</v>
      </c>
      <c r="N146" s="28">
        <v>11.382828</v>
      </c>
      <c r="O146" s="26">
        <f>IF(COUNTA(C146:N146),IF(LEFT(E$4,1)="C",ZenithAngle(M146,N146,D146,$I$4),L146),"---")</f>
        <v>27</v>
      </c>
      <c r="P146" s="26">
        <f t="shared" si="16"/>
        <v>0.85</v>
      </c>
      <c r="Q146" s="26">
        <f t="shared" si="18"/>
        <v>0.75144198109754745</v>
      </c>
      <c r="R146" s="26">
        <f t="shared" si="19"/>
        <v>0.39287408813237656</v>
      </c>
      <c r="S146" s="27">
        <f t="shared" si="20"/>
        <v>1.2945441753330689</v>
      </c>
      <c r="T146" s="2">
        <f t="shared" si="21"/>
        <v>0.60712591186762344</v>
      </c>
      <c r="U146" s="2">
        <f t="shared" si="22"/>
        <v>39.287408813237654</v>
      </c>
      <c r="V146" s="2">
        <f t="shared" si="17"/>
        <v>39.894534725105281</v>
      </c>
      <c r="W146" s="2">
        <v>0</v>
      </c>
      <c r="X146" s="2">
        <v>0</v>
      </c>
      <c r="Y146" s="2">
        <v>0</v>
      </c>
      <c r="Z146">
        <f t="shared" si="23"/>
        <v>0.15178147796690586</v>
      </c>
    </row>
    <row r="147" spans="1:26">
      <c r="A147" s="21" t="s">
        <v>11</v>
      </c>
      <c r="B147" s="2" t="s">
        <v>10</v>
      </c>
      <c r="C147" s="15" t="s">
        <v>32</v>
      </c>
      <c r="D147" s="16" t="s">
        <v>195</v>
      </c>
      <c r="E147" s="15"/>
      <c r="F147" s="17">
        <v>1661.1</v>
      </c>
      <c r="G147" s="17">
        <v>187.02500000000001</v>
      </c>
      <c r="H147" s="18">
        <v>0.17399999999999999</v>
      </c>
      <c r="I147" s="19">
        <v>2.91</v>
      </c>
      <c r="J147" s="19">
        <v>2</v>
      </c>
      <c r="K147" s="19">
        <v>0.85</v>
      </c>
      <c r="L147" s="20">
        <v>27</v>
      </c>
      <c r="M147" s="28">
        <v>44.544320999999997</v>
      </c>
      <c r="N147" s="28">
        <v>11.382828</v>
      </c>
      <c r="O147" s="26">
        <f>IF(COUNTA(C147:N147),IF(LEFT(E$4,1)="C",ZenithAngle(M147,N147,D147,$I$4),L147),"---")</f>
        <v>27</v>
      </c>
      <c r="P147" s="26">
        <f t="shared" si="16"/>
        <v>0.85</v>
      </c>
      <c r="Q147" s="26">
        <f t="shared" si="18"/>
        <v>0.75144198109754745</v>
      </c>
      <c r="R147" s="26">
        <f t="shared" si="19"/>
        <v>0.11259105412076335</v>
      </c>
      <c r="S147" s="27">
        <f t="shared" si="20"/>
        <v>3.0261993038520054</v>
      </c>
      <c r="T147" s="2">
        <f t="shared" si="21"/>
        <v>0.88740894587923669</v>
      </c>
      <c r="U147" s="2">
        <f t="shared" si="22"/>
        <v>11.259105412076336</v>
      </c>
      <c r="V147" s="2">
        <f t="shared" si="17"/>
        <v>12.146514357955573</v>
      </c>
      <c r="W147" s="2">
        <v>0</v>
      </c>
      <c r="X147" s="2">
        <v>0</v>
      </c>
      <c r="Y147" s="2">
        <v>0</v>
      </c>
      <c r="Z147">
        <f t="shared" si="23"/>
        <v>0.22185223646980917</v>
      </c>
    </row>
    <row r="148" spans="1:26">
      <c r="A148" s="21" t="s">
        <v>11</v>
      </c>
      <c r="B148" s="2" t="s">
        <v>10</v>
      </c>
      <c r="C148" s="15" t="s">
        <v>32</v>
      </c>
      <c r="D148" s="16" t="s">
        <v>196</v>
      </c>
      <c r="E148" s="15"/>
      <c r="F148" s="17">
        <v>1682.4</v>
      </c>
      <c r="G148" s="17">
        <v>192.36249999999998</v>
      </c>
      <c r="H148" s="18">
        <v>0.17399999999999999</v>
      </c>
      <c r="I148" s="19">
        <v>2.91</v>
      </c>
      <c r="J148" s="19">
        <v>2</v>
      </c>
      <c r="K148" s="19">
        <v>0.85</v>
      </c>
      <c r="L148" s="20">
        <v>27</v>
      </c>
      <c r="M148" s="28">
        <v>44.544320999999997</v>
      </c>
      <c r="N148" s="28">
        <v>11.382828</v>
      </c>
      <c r="O148" s="26">
        <f>IF(COUNTA(C148:N148),IF(LEFT(E$4,1)="C",ZenithAngle(M148,N148,D148,$I$4),L148),"---")</f>
        <v>27</v>
      </c>
      <c r="P148" s="26">
        <f t="shared" si="16"/>
        <v>0.85</v>
      </c>
      <c r="Q148" s="26">
        <f t="shared" si="18"/>
        <v>0.75144198109754745</v>
      </c>
      <c r="R148" s="26">
        <f t="shared" si="19"/>
        <v>0.11433814788397526</v>
      </c>
      <c r="S148" s="27">
        <f t="shared" si="20"/>
        <v>3.0048634176707556</v>
      </c>
      <c r="T148" s="2">
        <f t="shared" si="21"/>
        <v>0.88566185211602477</v>
      </c>
      <c r="U148" s="2">
        <f t="shared" si="22"/>
        <v>11.433814788397525</v>
      </c>
      <c r="V148" s="2">
        <f t="shared" si="17"/>
        <v>12.31947664051355</v>
      </c>
      <c r="W148" s="2">
        <v>0</v>
      </c>
      <c r="X148" s="2">
        <v>0</v>
      </c>
      <c r="Y148" s="2">
        <v>0</v>
      </c>
      <c r="Z148">
        <f t="shared" si="23"/>
        <v>0.22141546302900619</v>
      </c>
    </row>
    <row r="149" spans="1:26">
      <c r="A149" s="21" t="s">
        <v>11</v>
      </c>
      <c r="B149" s="2" t="s">
        <v>10</v>
      </c>
      <c r="C149" s="15" t="s">
        <v>32</v>
      </c>
      <c r="D149" s="16" t="s">
        <v>197</v>
      </c>
      <c r="E149" s="15"/>
      <c r="F149" s="17">
        <v>1722.9</v>
      </c>
      <c r="G149" s="17">
        <v>545.6875</v>
      </c>
      <c r="H149" s="18">
        <v>0.17399999999999999</v>
      </c>
      <c r="I149" s="19">
        <v>2.91</v>
      </c>
      <c r="J149" s="19">
        <v>2</v>
      </c>
      <c r="K149" s="19">
        <v>0.85</v>
      </c>
      <c r="L149" s="20">
        <v>27</v>
      </c>
      <c r="M149" s="28">
        <v>44.544320999999997</v>
      </c>
      <c r="N149" s="28">
        <v>11.382828</v>
      </c>
      <c r="O149" s="26">
        <f>IF(COUNTA(C149:N149),IF(LEFT(E$4,1)="C",ZenithAngle(M149,N149,D149,$I$4),L149),"---")</f>
        <v>27</v>
      </c>
      <c r="P149" s="26">
        <f t="shared" si="16"/>
        <v>0.85</v>
      </c>
      <c r="Q149" s="26">
        <f t="shared" si="18"/>
        <v>0.75144198109754745</v>
      </c>
      <c r="R149" s="26">
        <f t="shared" si="19"/>
        <v>0.31672615938243659</v>
      </c>
      <c r="S149" s="27">
        <f t="shared" si="20"/>
        <v>1.5930797248652127</v>
      </c>
      <c r="T149" s="2">
        <f t="shared" si="21"/>
        <v>0.68327384061756335</v>
      </c>
      <c r="U149" s="2">
        <f t="shared" si="22"/>
        <v>31.672615938243659</v>
      </c>
      <c r="V149" s="2">
        <f t="shared" si="17"/>
        <v>32.355889778861226</v>
      </c>
      <c r="W149" s="2">
        <v>0</v>
      </c>
      <c r="X149" s="2">
        <v>0</v>
      </c>
      <c r="Y149" s="2">
        <v>0</v>
      </c>
      <c r="Z149">
        <f t="shared" si="23"/>
        <v>0.17081846015439084</v>
      </c>
    </row>
    <row r="150" spans="1:26">
      <c r="A150" s="21" t="s">
        <v>11</v>
      </c>
      <c r="B150" s="2" t="s">
        <v>10</v>
      </c>
      <c r="C150" s="15" t="s">
        <v>32</v>
      </c>
      <c r="D150" s="16" t="s">
        <v>198</v>
      </c>
      <c r="E150" s="15"/>
      <c r="F150" s="17">
        <v>1658.3</v>
      </c>
      <c r="G150" s="17">
        <v>481.27500000000003</v>
      </c>
      <c r="H150" s="18">
        <v>0.17399999999999999</v>
      </c>
      <c r="I150" s="19">
        <v>2.91</v>
      </c>
      <c r="J150" s="19">
        <v>2</v>
      </c>
      <c r="K150" s="19">
        <v>0.85</v>
      </c>
      <c r="L150" s="20">
        <v>27</v>
      </c>
      <c r="M150" s="28">
        <v>44.544320999999997</v>
      </c>
      <c r="N150" s="28">
        <v>11.382828</v>
      </c>
      <c r="O150" s="26">
        <f>IF(COUNTA(C150:N150),IF(LEFT(E$4,1)="C",ZenithAngle(M150,N150,D150,$I$4),L150),"---")</f>
        <v>27</v>
      </c>
      <c r="P150" s="26">
        <f t="shared" si="16"/>
        <v>0.85</v>
      </c>
      <c r="Q150" s="26">
        <f t="shared" si="18"/>
        <v>0.75144198109754745</v>
      </c>
      <c r="R150" s="26">
        <f t="shared" si="19"/>
        <v>0.29022191400832181</v>
      </c>
      <c r="S150" s="27">
        <f t="shared" si="20"/>
        <v>1.714172007090589</v>
      </c>
      <c r="T150" s="2">
        <f t="shared" si="21"/>
        <v>0.70977808599167824</v>
      </c>
      <c r="U150" s="2">
        <f t="shared" si="22"/>
        <v>29.022191400832181</v>
      </c>
      <c r="V150" s="2">
        <f t="shared" si="17"/>
        <v>29.731969486823861</v>
      </c>
      <c r="W150" s="2">
        <v>0</v>
      </c>
      <c r="X150" s="2">
        <v>0</v>
      </c>
      <c r="Y150" s="2">
        <v>0</v>
      </c>
      <c r="Z150">
        <f t="shared" si="23"/>
        <v>0.17744452149791956</v>
      </c>
    </row>
    <row r="151" spans="1:26">
      <c r="A151" s="21" t="s">
        <v>11</v>
      </c>
      <c r="B151" s="2" t="s">
        <v>10</v>
      </c>
      <c r="C151" s="15" t="s">
        <v>32</v>
      </c>
      <c r="D151" s="16" t="s">
        <v>199</v>
      </c>
      <c r="E151" s="15"/>
      <c r="F151" s="17">
        <v>1689.7</v>
      </c>
      <c r="G151" s="17">
        <v>439.88749999999999</v>
      </c>
      <c r="H151" s="18">
        <v>0.17399999999999999</v>
      </c>
      <c r="I151" s="19">
        <v>2.91</v>
      </c>
      <c r="J151" s="19">
        <v>2</v>
      </c>
      <c r="K151" s="19">
        <v>0.85</v>
      </c>
      <c r="L151" s="20">
        <v>27</v>
      </c>
      <c r="M151" s="28">
        <v>44.544320999999997</v>
      </c>
      <c r="N151" s="28">
        <v>11.382828</v>
      </c>
      <c r="O151" s="26">
        <f>IF(COUNTA(C151:N151),IF(LEFT(E$4,1)="C",ZenithAngle(M151,N151,D151,$I$4),L151),"---")</f>
        <v>27</v>
      </c>
      <c r="P151" s="26">
        <f t="shared" si="16"/>
        <v>0.85</v>
      </c>
      <c r="Q151" s="26">
        <f t="shared" si="18"/>
        <v>0.75144198109754745</v>
      </c>
      <c r="R151" s="26">
        <f t="shared" si="19"/>
        <v>0.26033467479434219</v>
      </c>
      <c r="S151" s="27">
        <f t="shared" si="20"/>
        <v>1.8647589332406496</v>
      </c>
      <c r="T151" s="2">
        <f t="shared" si="21"/>
        <v>0.73966532520565775</v>
      </c>
      <c r="U151" s="2">
        <f t="shared" si="22"/>
        <v>26.033467479434218</v>
      </c>
      <c r="V151" s="2">
        <f t="shared" si="17"/>
        <v>26.773132804639875</v>
      </c>
      <c r="W151" s="2">
        <v>0</v>
      </c>
      <c r="X151" s="2">
        <v>0</v>
      </c>
      <c r="Y151" s="2">
        <v>0</v>
      </c>
      <c r="Z151">
        <f t="shared" si="23"/>
        <v>0.18491633130141444</v>
      </c>
    </row>
    <row r="152" spans="1:26">
      <c r="A152" s="21" t="s">
        <v>11</v>
      </c>
      <c r="B152" s="2" t="s">
        <v>10</v>
      </c>
      <c r="C152" s="15" t="s">
        <v>32</v>
      </c>
      <c r="D152" s="16" t="s">
        <v>200</v>
      </c>
      <c r="E152" s="15"/>
      <c r="F152" s="17">
        <v>1712.3</v>
      </c>
      <c r="G152" s="17">
        <v>276.81249999999994</v>
      </c>
      <c r="H152" s="18">
        <v>0.17399999999999999</v>
      </c>
      <c r="I152" s="19">
        <v>2.91</v>
      </c>
      <c r="J152" s="19">
        <v>2</v>
      </c>
      <c r="K152" s="19">
        <v>0.85</v>
      </c>
      <c r="L152" s="20">
        <v>27</v>
      </c>
      <c r="M152" s="28">
        <v>44.544320999999997</v>
      </c>
      <c r="N152" s="28">
        <v>11.382828</v>
      </c>
      <c r="O152" s="26">
        <f>IF(COUNTA(C152:N152),IF(LEFT(E$4,1)="C",ZenithAngle(M152,N152,D152,$I$4),L152),"---")</f>
        <v>27</v>
      </c>
      <c r="P152" s="26">
        <f t="shared" si="16"/>
        <v>0.85</v>
      </c>
      <c r="Q152" s="26">
        <f t="shared" si="18"/>
        <v>0.75144198109754745</v>
      </c>
      <c r="R152" s="26">
        <f t="shared" si="19"/>
        <v>0.16166121590842722</v>
      </c>
      <c r="S152" s="27">
        <f t="shared" si="20"/>
        <v>2.5249617956044874</v>
      </c>
      <c r="T152" s="2">
        <f t="shared" si="21"/>
        <v>0.83833878409157281</v>
      </c>
      <c r="U152" s="2">
        <f t="shared" si="22"/>
        <v>16.166121590842721</v>
      </c>
      <c r="V152" s="2">
        <f t="shared" si="17"/>
        <v>17.004460374934293</v>
      </c>
      <c r="W152" s="2">
        <v>0</v>
      </c>
      <c r="X152" s="2">
        <v>0</v>
      </c>
      <c r="Y152" s="2">
        <v>0</v>
      </c>
      <c r="Z152">
        <f t="shared" si="23"/>
        <v>0.2095846960228932</v>
      </c>
    </row>
    <row r="153" spans="1:26">
      <c r="A153" s="21" t="s">
        <v>11</v>
      </c>
      <c r="B153" s="2" t="s">
        <v>10</v>
      </c>
      <c r="C153" s="15" t="s">
        <v>32</v>
      </c>
      <c r="D153" s="16" t="s">
        <v>201</v>
      </c>
      <c r="E153" s="15"/>
      <c r="F153" s="17">
        <v>1697.6</v>
      </c>
      <c r="G153" s="17">
        <v>292.43750000000006</v>
      </c>
      <c r="H153" s="18">
        <v>0.17399999999999999</v>
      </c>
      <c r="I153" s="19">
        <v>2.91</v>
      </c>
      <c r="J153" s="19">
        <v>2</v>
      </c>
      <c r="K153" s="19">
        <v>0.85</v>
      </c>
      <c r="L153" s="20">
        <v>27</v>
      </c>
      <c r="M153" s="28">
        <v>44.544320999999997</v>
      </c>
      <c r="N153" s="28">
        <v>11.382828</v>
      </c>
      <c r="O153" s="26">
        <f>IF(COUNTA(C153:N153),IF(LEFT(E$4,1)="C",ZenithAngle(M153,N153,D153,$I$4),L153),"---")</f>
        <v>27</v>
      </c>
      <c r="P153" s="26">
        <f t="shared" si="16"/>
        <v>0.85</v>
      </c>
      <c r="Q153" s="26">
        <f t="shared" si="18"/>
        <v>0.75144198109754745</v>
      </c>
      <c r="R153" s="26">
        <f t="shared" si="19"/>
        <v>0.17226525683317628</v>
      </c>
      <c r="S153" s="27">
        <f t="shared" si="20"/>
        <v>2.4369293290746197</v>
      </c>
      <c r="T153" s="2">
        <f t="shared" si="21"/>
        <v>0.82773474316682372</v>
      </c>
      <c r="U153" s="2">
        <f t="shared" si="22"/>
        <v>17.226525683317629</v>
      </c>
      <c r="V153" s="2">
        <f t="shared" si="17"/>
        <v>18.054260426484454</v>
      </c>
      <c r="W153" s="2">
        <v>0</v>
      </c>
      <c r="X153" s="2">
        <v>0</v>
      </c>
      <c r="Y153" s="2">
        <v>0</v>
      </c>
      <c r="Z153">
        <f t="shared" si="23"/>
        <v>0.20693368579170593</v>
      </c>
    </row>
    <row r="154" spans="1:26">
      <c r="A154" s="21" t="s">
        <v>11</v>
      </c>
      <c r="B154" s="2" t="s">
        <v>10</v>
      </c>
      <c r="C154" s="15" t="s">
        <v>32</v>
      </c>
      <c r="D154" s="16" t="s">
        <v>202</v>
      </c>
      <c r="E154" s="15"/>
      <c r="F154" s="17">
        <v>1641.9</v>
      </c>
      <c r="G154" s="17">
        <v>139.99999999999997</v>
      </c>
      <c r="H154" s="18">
        <v>0.17399999999999999</v>
      </c>
      <c r="I154" s="19">
        <v>2.91</v>
      </c>
      <c r="J154" s="19">
        <v>2</v>
      </c>
      <c r="K154" s="19">
        <v>0.85</v>
      </c>
      <c r="L154" s="20">
        <v>27</v>
      </c>
      <c r="M154" s="28">
        <v>44.544320999999997</v>
      </c>
      <c r="N154" s="28">
        <v>11.382828</v>
      </c>
      <c r="O154" s="26">
        <f>IF(COUNTA(C154:N154),IF(LEFT(E$4,1)="C",ZenithAngle(M154,N154,D154,$I$4),L154),"---")</f>
        <v>27</v>
      </c>
      <c r="P154" s="26">
        <f t="shared" si="16"/>
        <v>0.85</v>
      </c>
      <c r="Q154" s="26">
        <f t="shared" si="18"/>
        <v>0.75144198109754745</v>
      </c>
      <c r="R154" s="26">
        <f t="shared" si="19"/>
        <v>8.5267068639990229E-2</v>
      </c>
      <c r="S154" s="27">
        <f t="shared" si="20"/>
        <v>3.4113674645094032</v>
      </c>
      <c r="T154" s="2">
        <f t="shared" si="21"/>
        <v>0.91473293136000977</v>
      </c>
      <c r="U154" s="2">
        <f t="shared" si="22"/>
        <v>8.5267068639990224</v>
      </c>
      <c r="V154" s="2">
        <f t="shared" si="17"/>
        <v>9.4414397953590328</v>
      </c>
      <c r="W154" s="2">
        <v>0</v>
      </c>
      <c r="X154" s="2">
        <v>0</v>
      </c>
      <c r="Y154" s="2">
        <v>0</v>
      </c>
      <c r="Z154">
        <f t="shared" si="23"/>
        <v>0.22868323284000244</v>
      </c>
    </row>
    <row r="155" spans="1:26">
      <c r="A155" s="21" t="s">
        <v>11</v>
      </c>
      <c r="B155" s="2" t="s">
        <v>10</v>
      </c>
      <c r="C155" s="15" t="s">
        <v>32</v>
      </c>
      <c r="D155" s="16" t="s">
        <v>203</v>
      </c>
      <c r="E155" s="15"/>
      <c r="F155" s="17">
        <v>1670.8</v>
      </c>
      <c r="G155" s="17">
        <v>263.7</v>
      </c>
      <c r="H155" s="18">
        <v>0.17399999999999999</v>
      </c>
      <c r="I155" s="19">
        <v>2.91</v>
      </c>
      <c r="J155" s="19">
        <v>2</v>
      </c>
      <c r="K155" s="19">
        <v>0.85</v>
      </c>
      <c r="L155" s="20">
        <v>27</v>
      </c>
      <c r="M155" s="28">
        <v>44.544320999999997</v>
      </c>
      <c r="N155" s="28">
        <v>11.382828</v>
      </c>
      <c r="O155" s="26">
        <f>IF(COUNTA(C155:N155),IF(LEFT(E$4,1)="C",ZenithAngle(M155,N155,D155,$I$4),L155),"---")</f>
        <v>27</v>
      </c>
      <c r="P155" s="26">
        <f t="shared" si="16"/>
        <v>0.85</v>
      </c>
      <c r="Q155" s="26">
        <f t="shared" si="18"/>
        <v>0.75144198109754745</v>
      </c>
      <c r="R155" s="26">
        <f t="shared" si="19"/>
        <v>0.15782858510892986</v>
      </c>
      <c r="S155" s="27">
        <f t="shared" si="20"/>
        <v>2.5582076193446945</v>
      </c>
      <c r="T155" s="2">
        <f t="shared" si="21"/>
        <v>0.84217141489107017</v>
      </c>
      <c r="U155" s="2">
        <f t="shared" si="22"/>
        <v>15.782858510892986</v>
      </c>
      <c r="V155" s="2">
        <f t="shared" si="17"/>
        <v>16.625029925784055</v>
      </c>
      <c r="W155" s="2">
        <v>0</v>
      </c>
      <c r="X155" s="2">
        <v>0</v>
      </c>
      <c r="Y155" s="2">
        <v>0</v>
      </c>
      <c r="Z155">
        <f t="shared" si="23"/>
        <v>0.21054285372276754</v>
      </c>
    </row>
    <row r="156" spans="1:26">
      <c r="A156" s="21" t="s">
        <v>11</v>
      </c>
      <c r="B156" s="2" t="s">
        <v>10</v>
      </c>
      <c r="C156" s="15" t="s">
        <v>32</v>
      </c>
      <c r="D156" s="16" t="s">
        <v>204</v>
      </c>
      <c r="E156" s="15"/>
      <c r="F156" s="17">
        <v>1693.1</v>
      </c>
      <c r="G156" s="17">
        <v>123.55</v>
      </c>
      <c r="H156" s="18">
        <v>0.17399999999999999</v>
      </c>
      <c r="I156" s="19">
        <v>2.91</v>
      </c>
      <c r="J156" s="19">
        <v>2</v>
      </c>
      <c r="K156" s="19">
        <v>0.85</v>
      </c>
      <c r="L156" s="20">
        <v>27</v>
      </c>
      <c r="M156" s="28">
        <v>44.544320999999997</v>
      </c>
      <c r="N156" s="28">
        <v>11.382828</v>
      </c>
      <c r="O156" s="26">
        <f>IF(COUNTA(C156:N156),IF(LEFT(E$4,1)="C",ZenithAngle(M156,N156,D156,$I$4),L156),"---")</f>
        <v>27</v>
      </c>
      <c r="P156" s="26">
        <f t="shared" si="16"/>
        <v>0.85</v>
      </c>
      <c r="Q156" s="26">
        <f t="shared" si="18"/>
        <v>0.75144198109754745</v>
      </c>
      <c r="R156" s="26">
        <f t="shared" si="19"/>
        <v>7.297265371212569E-2</v>
      </c>
      <c r="S156" s="27">
        <f t="shared" si="20"/>
        <v>3.6271144806046984</v>
      </c>
      <c r="T156" s="2">
        <f t="shared" si="21"/>
        <v>0.92702734628787431</v>
      </c>
      <c r="U156" s="2">
        <f t="shared" si="22"/>
        <v>7.2972653712125695</v>
      </c>
      <c r="V156" s="2">
        <f t="shared" si="17"/>
        <v>8.2242927175004432</v>
      </c>
      <c r="W156" s="2">
        <v>0</v>
      </c>
      <c r="X156" s="2">
        <v>0</v>
      </c>
      <c r="Y156" s="2">
        <v>0</v>
      </c>
      <c r="Z156">
        <f t="shared" si="23"/>
        <v>0.23175683657196858</v>
      </c>
    </row>
    <row r="157" spans="1:26">
      <c r="A157" s="2" t="s">
        <v>12</v>
      </c>
      <c r="B157" s="2" t="s">
        <v>6</v>
      </c>
      <c r="C157" s="15" t="s">
        <v>32</v>
      </c>
      <c r="D157" s="16" t="s">
        <v>205</v>
      </c>
      <c r="E157" s="15"/>
      <c r="F157" s="17">
        <v>1602.8</v>
      </c>
      <c r="G157" s="17">
        <v>191.08750000000001</v>
      </c>
      <c r="H157" s="18">
        <v>0.32400000000000001</v>
      </c>
      <c r="I157" s="19">
        <v>2.08</v>
      </c>
      <c r="J157" s="19">
        <v>2</v>
      </c>
      <c r="K157" s="19">
        <v>0.82</v>
      </c>
      <c r="L157" s="20">
        <v>27</v>
      </c>
      <c r="M157" s="28">
        <v>44.544320999999997</v>
      </c>
      <c r="N157" s="28">
        <v>11.382828</v>
      </c>
      <c r="O157" s="26">
        <f>IF(COUNTA(C157:N157),IF(LEFT(E$4,1)="C",ZenithAngle(M157,N157,D157,$I$4),L157),"---")</f>
        <v>27</v>
      </c>
      <c r="P157" s="26">
        <f t="shared" si="16"/>
        <v>0.82</v>
      </c>
      <c r="Q157" s="26">
        <f t="shared" si="18"/>
        <v>0.75144198109754745</v>
      </c>
      <c r="R157" s="26">
        <f t="shared" si="19"/>
        <v>0.11922105066134266</v>
      </c>
      <c r="S157" s="27">
        <f t="shared" si="20"/>
        <v>2.9197022411852114</v>
      </c>
      <c r="T157" s="2">
        <f t="shared" si="21"/>
        <v>0.8807789493386573</v>
      </c>
      <c r="U157" s="2">
        <f t="shared" si="22"/>
        <v>11.922105066134266</v>
      </c>
      <c r="V157" s="2">
        <f t="shared" si="17"/>
        <v>12.802884015472923</v>
      </c>
      <c r="W157" s="2">
        <v>0</v>
      </c>
      <c r="X157" s="2">
        <v>0</v>
      </c>
      <c r="Y157" s="2">
        <v>0</v>
      </c>
      <c r="Z157">
        <f t="shared" si="23"/>
        <v>0.22019473733466433</v>
      </c>
    </row>
    <row r="158" spans="1:26">
      <c r="A158" s="2" t="s">
        <v>12</v>
      </c>
      <c r="B158" s="2" t="s">
        <v>6</v>
      </c>
      <c r="C158" s="15" t="s">
        <v>32</v>
      </c>
      <c r="D158" s="16" t="s">
        <v>206</v>
      </c>
      <c r="E158" s="15"/>
      <c r="F158" s="17">
        <v>1712.7</v>
      </c>
      <c r="G158" s="17">
        <v>398.57499999999993</v>
      </c>
      <c r="H158" s="18">
        <v>0.32400000000000001</v>
      </c>
      <c r="I158" s="19">
        <v>2.08</v>
      </c>
      <c r="J158" s="19">
        <v>2</v>
      </c>
      <c r="K158" s="19">
        <v>0.82</v>
      </c>
      <c r="L158" s="20">
        <v>27</v>
      </c>
      <c r="M158" s="28">
        <v>44.544320999999997</v>
      </c>
      <c r="N158" s="28">
        <v>11.382828</v>
      </c>
      <c r="O158" s="26">
        <f>IF(COUNTA(C158:N158),IF(LEFT(E$4,1)="C",ZenithAngle(M158,N158,D158,$I$4),L158),"---")</f>
        <v>27</v>
      </c>
      <c r="P158" s="26">
        <f t="shared" si="16"/>
        <v>0.82</v>
      </c>
      <c r="Q158" s="26">
        <f t="shared" si="18"/>
        <v>0.75144198109754745</v>
      </c>
      <c r="R158" s="26">
        <f t="shared" si="19"/>
        <v>0.23271734687919654</v>
      </c>
      <c r="S158" s="27">
        <f t="shared" si="20"/>
        <v>2.0014912479355074</v>
      </c>
      <c r="T158" s="2">
        <f t="shared" si="21"/>
        <v>0.76728265312080346</v>
      </c>
      <c r="U158" s="2">
        <f t="shared" si="22"/>
        <v>23.271734687919654</v>
      </c>
      <c r="V158" s="2">
        <f t="shared" si="17"/>
        <v>24.039017341040456</v>
      </c>
      <c r="W158" s="2">
        <v>0</v>
      </c>
      <c r="X158" s="2">
        <v>0</v>
      </c>
      <c r="Y158" s="2">
        <v>0</v>
      </c>
      <c r="Z158">
        <f t="shared" si="23"/>
        <v>0.19182066328020086</v>
      </c>
    </row>
    <row r="159" spans="1:26">
      <c r="A159" s="2" t="s">
        <v>12</v>
      </c>
      <c r="B159" s="2" t="s">
        <v>6</v>
      </c>
      <c r="C159" s="15" t="s">
        <v>32</v>
      </c>
      <c r="D159" s="16" t="s">
        <v>207</v>
      </c>
      <c r="E159" s="15"/>
      <c r="F159" s="17">
        <v>1685.7</v>
      </c>
      <c r="G159" s="17">
        <v>250.375</v>
      </c>
      <c r="H159" s="18">
        <v>0.32400000000000001</v>
      </c>
      <c r="I159" s="19">
        <v>2.08</v>
      </c>
      <c r="J159" s="19">
        <v>2</v>
      </c>
      <c r="K159" s="19">
        <v>0.82</v>
      </c>
      <c r="L159" s="20">
        <v>27</v>
      </c>
      <c r="M159" s="28">
        <v>44.544320999999997</v>
      </c>
      <c r="N159" s="28">
        <v>11.382828</v>
      </c>
      <c r="O159" s="26">
        <f>IF(COUNTA(C159:N159),IF(LEFT(E$4,1)="C",ZenithAngle(M159,N159,D159,$I$4),L159),"---")</f>
        <v>27</v>
      </c>
      <c r="P159" s="26">
        <f t="shared" si="16"/>
        <v>0.82</v>
      </c>
      <c r="Q159" s="26">
        <f t="shared" si="18"/>
        <v>0.75144198109754745</v>
      </c>
      <c r="R159" s="26">
        <f t="shared" si="19"/>
        <v>0.14852880109153466</v>
      </c>
      <c r="S159" s="27">
        <f t="shared" si="20"/>
        <v>2.6179547840887669</v>
      </c>
      <c r="T159" s="2">
        <f t="shared" si="21"/>
        <v>0.85147119890846534</v>
      </c>
      <c r="U159" s="2">
        <f t="shared" si="22"/>
        <v>14.852880109153466</v>
      </c>
      <c r="V159" s="2">
        <f t="shared" si="17"/>
        <v>15.704351308061931</v>
      </c>
      <c r="W159" s="2">
        <v>0</v>
      </c>
      <c r="X159" s="2">
        <v>0</v>
      </c>
      <c r="Y159" s="2">
        <v>0</v>
      </c>
      <c r="Z159">
        <f t="shared" si="23"/>
        <v>0.21286779972711634</v>
      </c>
    </row>
    <row r="160" spans="1:26">
      <c r="A160" s="2" t="s">
        <v>12</v>
      </c>
      <c r="B160" s="2" t="s">
        <v>6</v>
      </c>
      <c r="C160" s="15" t="s">
        <v>32</v>
      </c>
      <c r="D160" s="16" t="s">
        <v>208</v>
      </c>
      <c r="E160" s="15"/>
      <c r="F160" s="17">
        <v>1663.9</v>
      </c>
      <c r="G160" s="17">
        <v>665.875</v>
      </c>
      <c r="H160" s="18">
        <v>0.32400000000000001</v>
      </c>
      <c r="I160" s="19">
        <v>2.08</v>
      </c>
      <c r="J160" s="19">
        <v>2</v>
      </c>
      <c r="K160" s="19">
        <v>0.82</v>
      </c>
      <c r="L160" s="20">
        <v>27</v>
      </c>
      <c r="M160" s="28">
        <v>44.544320999999997</v>
      </c>
      <c r="N160" s="28">
        <v>11.382828</v>
      </c>
      <c r="O160" s="26">
        <f>IF(COUNTA(C160:N160),IF(LEFT(E$4,1)="C",ZenithAngle(M160,N160,D160,$I$4),L160),"---")</f>
        <v>27</v>
      </c>
      <c r="P160" s="26">
        <f t="shared" si="16"/>
        <v>0.82</v>
      </c>
      <c r="Q160" s="26">
        <f t="shared" si="18"/>
        <v>0.75144198109754745</v>
      </c>
      <c r="R160" s="26">
        <f t="shared" si="19"/>
        <v>0.40018931426167437</v>
      </c>
      <c r="S160" s="27">
        <f t="shared" si="20"/>
        <v>1.2572620022214278</v>
      </c>
      <c r="T160" s="2">
        <f t="shared" si="21"/>
        <v>0.59981068573832563</v>
      </c>
      <c r="U160" s="2">
        <f t="shared" si="22"/>
        <v>40.018931426167434</v>
      </c>
      <c r="V160" s="2">
        <f t="shared" si="17"/>
        <v>40.61874211190576</v>
      </c>
      <c r="W160" s="2">
        <v>0</v>
      </c>
      <c r="X160" s="2">
        <v>0</v>
      </c>
      <c r="Y160" s="2">
        <v>0</v>
      </c>
      <c r="Z160">
        <f t="shared" si="23"/>
        <v>0.14995267143458141</v>
      </c>
    </row>
    <row r="161" spans="1:26">
      <c r="A161" s="2" t="s">
        <v>12</v>
      </c>
      <c r="B161" s="2" t="s">
        <v>6</v>
      </c>
      <c r="C161" s="15" t="s">
        <v>32</v>
      </c>
      <c r="D161" s="16" t="s">
        <v>209</v>
      </c>
      <c r="E161" s="15"/>
      <c r="F161" s="17">
        <v>1685.3</v>
      </c>
      <c r="G161" s="17">
        <v>537.73750000000007</v>
      </c>
      <c r="H161" s="18">
        <v>0.32400000000000001</v>
      </c>
      <c r="I161" s="19">
        <v>2.08</v>
      </c>
      <c r="J161" s="19">
        <v>2</v>
      </c>
      <c r="K161" s="19">
        <v>0.82</v>
      </c>
      <c r="L161" s="20">
        <v>27</v>
      </c>
      <c r="M161" s="28">
        <v>44.544320999999997</v>
      </c>
      <c r="N161" s="28">
        <v>11.382828</v>
      </c>
      <c r="O161" s="26">
        <f>IF(COUNTA(C161:N161),IF(LEFT(E$4,1)="C",ZenithAngle(M161,N161,D161,$I$4),L161),"---")</f>
        <v>27</v>
      </c>
      <c r="P161" s="26">
        <f t="shared" si="16"/>
        <v>0.82</v>
      </c>
      <c r="Q161" s="26">
        <f t="shared" si="18"/>
        <v>0.75144198109754745</v>
      </c>
      <c r="R161" s="26">
        <f t="shared" si="19"/>
        <v>0.31907523882988198</v>
      </c>
      <c r="S161" s="27">
        <f t="shared" si="20"/>
        <v>1.5682228519827746</v>
      </c>
      <c r="T161" s="2">
        <f t="shared" si="21"/>
        <v>0.68092476117011802</v>
      </c>
      <c r="U161" s="2">
        <f t="shared" si="22"/>
        <v>31.907523882988198</v>
      </c>
      <c r="V161" s="2">
        <f t="shared" si="17"/>
        <v>32.588448644158312</v>
      </c>
      <c r="W161" s="2">
        <v>0</v>
      </c>
      <c r="X161" s="2">
        <v>0</v>
      </c>
      <c r="Y161" s="2">
        <v>0</v>
      </c>
      <c r="Z161">
        <f t="shared" si="23"/>
        <v>0.17023119029252951</v>
      </c>
    </row>
    <row r="162" spans="1:26">
      <c r="A162" s="2" t="s">
        <v>12</v>
      </c>
      <c r="B162" s="2" t="s">
        <v>6</v>
      </c>
      <c r="C162" s="15" t="s">
        <v>32</v>
      </c>
      <c r="D162" s="16" t="s">
        <v>210</v>
      </c>
      <c r="E162" s="15"/>
      <c r="F162" s="17">
        <v>1632</v>
      </c>
      <c r="G162" s="17">
        <v>691.625</v>
      </c>
      <c r="H162" s="18">
        <v>0.32400000000000001</v>
      </c>
      <c r="I162" s="19">
        <v>2.08</v>
      </c>
      <c r="J162" s="19">
        <v>2</v>
      </c>
      <c r="K162" s="19">
        <v>0.82</v>
      </c>
      <c r="L162" s="20">
        <v>27</v>
      </c>
      <c r="M162" s="28">
        <v>44.544320999999997</v>
      </c>
      <c r="N162" s="28">
        <v>11.382828</v>
      </c>
      <c r="O162" s="26">
        <f>IF(COUNTA(C162:N162),IF(LEFT(E$4,1)="C",ZenithAngle(M162,N162,D162,$I$4),L162),"---")</f>
        <v>27</v>
      </c>
      <c r="P162" s="26">
        <f t="shared" si="16"/>
        <v>0.82</v>
      </c>
      <c r="Q162" s="26">
        <f t="shared" si="18"/>
        <v>0.75144198109754745</v>
      </c>
      <c r="R162" s="26">
        <f t="shared" si="19"/>
        <v>0.42378982843137253</v>
      </c>
      <c r="S162" s="27">
        <f t="shared" si="20"/>
        <v>1.1785989362222655</v>
      </c>
      <c r="T162" s="2">
        <f t="shared" si="21"/>
        <v>0.57621017156862742</v>
      </c>
      <c r="U162" s="2">
        <f t="shared" si="22"/>
        <v>42.378982843137251</v>
      </c>
      <c r="V162" s="2">
        <f t="shared" si="17"/>
        <v>42.955193014705877</v>
      </c>
      <c r="W162" s="2">
        <v>0</v>
      </c>
      <c r="X162" s="2">
        <v>0</v>
      </c>
      <c r="Y162" s="2">
        <v>0</v>
      </c>
      <c r="Z162">
        <f t="shared" si="23"/>
        <v>0.14405254289215685</v>
      </c>
    </row>
    <row r="163" spans="1:26">
      <c r="A163" s="2" t="s">
        <v>12</v>
      </c>
      <c r="B163" s="2" t="s">
        <v>6</v>
      </c>
      <c r="C163" s="15" t="s">
        <v>32</v>
      </c>
      <c r="D163" s="16" t="s">
        <v>211</v>
      </c>
      <c r="E163" s="15"/>
      <c r="F163" s="17">
        <v>1622.7</v>
      </c>
      <c r="G163" s="17">
        <v>425.9375</v>
      </c>
      <c r="H163" s="18">
        <v>0.32400000000000001</v>
      </c>
      <c r="I163" s="19">
        <v>2.08</v>
      </c>
      <c r="J163" s="19">
        <v>2</v>
      </c>
      <c r="K163" s="19">
        <v>0.82</v>
      </c>
      <c r="L163" s="20">
        <v>27</v>
      </c>
      <c r="M163" s="28">
        <v>44.544320999999997</v>
      </c>
      <c r="N163" s="28">
        <v>11.382828</v>
      </c>
      <c r="O163" s="26">
        <f>IF(COUNTA(C163:N163),IF(LEFT(E$4,1)="C",ZenithAngle(M163,N163,D163,$I$4),L163),"---")</f>
        <v>27</v>
      </c>
      <c r="P163" s="26">
        <f t="shared" si="16"/>
        <v>0.82</v>
      </c>
      <c r="Q163" s="26">
        <f t="shared" si="18"/>
        <v>0.75144198109754745</v>
      </c>
      <c r="R163" s="26">
        <f t="shared" si="19"/>
        <v>0.262486904541813</v>
      </c>
      <c r="S163" s="27">
        <f t="shared" si="20"/>
        <v>1.8362346438778234</v>
      </c>
      <c r="T163" s="2">
        <f t="shared" si="21"/>
        <v>0.737513095458187</v>
      </c>
      <c r="U163" s="2">
        <f t="shared" si="22"/>
        <v>26.2486904541813</v>
      </c>
      <c r="V163" s="2">
        <f t="shared" si="17"/>
        <v>26.986203549639487</v>
      </c>
      <c r="W163" s="2">
        <v>0</v>
      </c>
      <c r="X163" s="2">
        <v>0</v>
      </c>
      <c r="Y163" s="2">
        <v>0</v>
      </c>
      <c r="Z163">
        <f t="shared" si="23"/>
        <v>0.18437827386454675</v>
      </c>
    </row>
    <row r="164" spans="1:26">
      <c r="A164" s="2" t="s">
        <v>12</v>
      </c>
      <c r="B164" s="2" t="s">
        <v>6</v>
      </c>
      <c r="C164" s="15" t="s">
        <v>32</v>
      </c>
      <c r="D164" s="16" t="s">
        <v>212</v>
      </c>
      <c r="E164" s="15"/>
      <c r="F164" s="17">
        <v>1599.5</v>
      </c>
      <c r="G164" s="17">
        <v>883.06249999999989</v>
      </c>
      <c r="H164" s="18">
        <v>0.32400000000000001</v>
      </c>
      <c r="I164" s="19">
        <v>2.08</v>
      </c>
      <c r="J164" s="19">
        <v>2</v>
      </c>
      <c r="K164" s="19">
        <v>0.82</v>
      </c>
      <c r="L164" s="20">
        <v>27</v>
      </c>
      <c r="M164" s="28">
        <v>44.544320999999997</v>
      </c>
      <c r="N164" s="28">
        <v>11.382828</v>
      </c>
      <c r="O164" s="26">
        <f>IF(COUNTA(C164:N164),IF(LEFT(E$4,1)="C",ZenithAngle(M164,N164,D164,$I$4),L164),"---")</f>
        <v>27</v>
      </c>
      <c r="P164" s="26">
        <f t="shared" si="16"/>
        <v>0.82</v>
      </c>
      <c r="Q164" s="26">
        <f t="shared" si="18"/>
        <v>0.75144198109754745</v>
      </c>
      <c r="R164" s="26">
        <f t="shared" si="19"/>
        <v>0.55208658955923717</v>
      </c>
      <c r="S164" s="27">
        <f t="shared" si="20"/>
        <v>0.81553030222351452</v>
      </c>
      <c r="T164" s="2">
        <f t="shared" si="21"/>
        <v>0.44791341044076283</v>
      </c>
      <c r="U164" s="2">
        <f t="shared" si="22"/>
        <v>55.208658955923717</v>
      </c>
      <c r="V164" s="2">
        <f t="shared" si="17"/>
        <v>55.656572366364479</v>
      </c>
      <c r="W164" s="2">
        <v>0</v>
      </c>
      <c r="X164" s="2">
        <v>0</v>
      </c>
      <c r="Y164" s="2">
        <v>0</v>
      </c>
      <c r="Z164">
        <f t="shared" si="23"/>
        <v>0.11197835261019071</v>
      </c>
    </row>
    <row r="165" spans="1:26">
      <c r="A165" s="2" t="s">
        <v>12</v>
      </c>
      <c r="B165" s="2" t="s">
        <v>6</v>
      </c>
      <c r="C165" s="15" t="s">
        <v>32</v>
      </c>
      <c r="D165" s="16" t="s">
        <v>213</v>
      </c>
      <c r="E165" s="15"/>
      <c r="F165" s="17">
        <v>1562</v>
      </c>
      <c r="G165" s="17">
        <v>842.92499999999995</v>
      </c>
      <c r="H165" s="18">
        <v>0.32400000000000001</v>
      </c>
      <c r="I165" s="19">
        <v>2.08</v>
      </c>
      <c r="J165" s="19">
        <v>2</v>
      </c>
      <c r="K165" s="19">
        <v>0.82</v>
      </c>
      <c r="L165" s="20">
        <v>27</v>
      </c>
      <c r="M165" s="28">
        <v>44.544320999999997</v>
      </c>
      <c r="N165" s="28">
        <v>11.382828</v>
      </c>
      <c r="O165" s="26">
        <f>IF(COUNTA(C165:N165),IF(LEFT(E$4,1)="C",ZenithAngle(M165,N165,D165,$I$4),L165),"---")</f>
        <v>27</v>
      </c>
      <c r="P165" s="26">
        <f t="shared" si="16"/>
        <v>0.82</v>
      </c>
      <c r="Q165" s="26">
        <f t="shared" si="18"/>
        <v>0.75144198109754745</v>
      </c>
      <c r="R165" s="26">
        <f t="shared" si="19"/>
        <v>0.53964468629961582</v>
      </c>
      <c r="S165" s="27">
        <f t="shared" si="20"/>
        <v>0.84682254503325427</v>
      </c>
      <c r="T165" s="2">
        <f t="shared" si="21"/>
        <v>0.46035531370038418</v>
      </c>
      <c r="U165" s="2">
        <f t="shared" si="22"/>
        <v>53.96446862996158</v>
      </c>
      <c r="V165" s="2">
        <f t="shared" si="17"/>
        <v>54.424823943661963</v>
      </c>
      <c r="W165" s="2">
        <v>0</v>
      </c>
      <c r="X165" s="2">
        <v>0</v>
      </c>
      <c r="Y165" s="2">
        <v>0</v>
      </c>
      <c r="Z165">
        <f t="shared" si="23"/>
        <v>0.11508882842509605</v>
      </c>
    </row>
    <row r="166" spans="1:26">
      <c r="A166" s="2" t="s">
        <v>12</v>
      </c>
      <c r="B166" s="2" t="s">
        <v>6</v>
      </c>
      <c r="C166" s="15" t="s">
        <v>32</v>
      </c>
      <c r="D166" s="16" t="s">
        <v>214</v>
      </c>
      <c r="E166" s="15"/>
      <c r="F166" s="17">
        <v>1617.7</v>
      </c>
      <c r="G166" s="17">
        <v>388.92499999999995</v>
      </c>
      <c r="H166" s="18">
        <v>0.32400000000000001</v>
      </c>
      <c r="I166" s="19">
        <v>2.08</v>
      </c>
      <c r="J166" s="19">
        <v>2</v>
      </c>
      <c r="K166" s="19">
        <v>0.82</v>
      </c>
      <c r="L166" s="20">
        <v>27</v>
      </c>
      <c r="M166" s="28">
        <v>44.544320999999997</v>
      </c>
      <c r="N166" s="28">
        <v>11.382828</v>
      </c>
      <c r="O166" s="26">
        <f>IF(COUNTA(C166:N166),IF(LEFT(E$4,1)="C",ZenithAngle(M166,N166,D166,$I$4),L166),"---")</f>
        <v>27</v>
      </c>
      <c r="P166" s="26">
        <f t="shared" si="16"/>
        <v>0.82</v>
      </c>
      <c r="Q166" s="26">
        <f t="shared" si="18"/>
        <v>0.75144198109754745</v>
      </c>
      <c r="R166" s="26">
        <f t="shared" si="19"/>
        <v>0.24041849539469615</v>
      </c>
      <c r="S166" s="27">
        <f t="shared" si="20"/>
        <v>1.95679667132775</v>
      </c>
      <c r="T166" s="2">
        <f t="shared" si="21"/>
        <v>0.75958150460530383</v>
      </c>
      <c r="U166" s="2">
        <f t="shared" si="22"/>
        <v>24.041849539469613</v>
      </c>
      <c r="V166" s="2">
        <f t="shared" si="17"/>
        <v>24.801431044074917</v>
      </c>
      <c r="W166" s="2">
        <v>0</v>
      </c>
      <c r="X166" s="2">
        <v>0</v>
      </c>
      <c r="Y166" s="2">
        <v>0</v>
      </c>
      <c r="Z166">
        <f t="shared" si="23"/>
        <v>0.18989537615132596</v>
      </c>
    </row>
    <row r="167" spans="1:26">
      <c r="A167" s="2" t="s">
        <v>12</v>
      </c>
      <c r="B167" s="2" t="s">
        <v>7</v>
      </c>
      <c r="C167" s="15" t="s">
        <v>32</v>
      </c>
      <c r="D167" s="16" t="s">
        <v>215</v>
      </c>
      <c r="E167" s="15"/>
      <c r="F167" s="17">
        <v>1598.5</v>
      </c>
      <c r="G167" s="17">
        <v>203.23749999999998</v>
      </c>
      <c r="H167" s="18">
        <v>0.13100000000000001</v>
      </c>
      <c r="I167" s="19">
        <v>3.21</v>
      </c>
      <c r="J167" s="19">
        <v>2</v>
      </c>
      <c r="K167" s="19">
        <v>0.85</v>
      </c>
      <c r="L167" s="20">
        <v>27</v>
      </c>
      <c r="M167" s="28">
        <v>44.544320999999997</v>
      </c>
      <c r="N167" s="28">
        <v>11.382828</v>
      </c>
      <c r="O167" s="26">
        <f>IF(COUNTA(C167:N167),IF(LEFT(E$4,1)="C",ZenithAngle(M167,N167,D167,$I$4),L167),"---")</f>
        <v>27</v>
      </c>
      <c r="P167" s="26">
        <f t="shared" si="16"/>
        <v>0.85</v>
      </c>
      <c r="Q167" s="26">
        <f t="shared" si="18"/>
        <v>0.75144198109754745</v>
      </c>
      <c r="R167" s="26">
        <f t="shared" si="19"/>
        <v>0.12714263371911166</v>
      </c>
      <c r="S167" s="27">
        <f t="shared" si="20"/>
        <v>2.8577801154945068</v>
      </c>
      <c r="T167" s="2">
        <f t="shared" si="21"/>
        <v>0.87285736628088828</v>
      </c>
      <c r="U167" s="2">
        <f t="shared" si="22"/>
        <v>12.714263371911166</v>
      </c>
      <c r="V167" s="2">
        <f t="shared" si="17"/>
        <v>13.587120738192054</v>
      </c>
      <c r="W167" s="2">
        <v>0</v>
      </c>
      <c r="X167" s="2">
        <v>0</v>
      </c>
      <c r="Y167" s="2">
        <v>0</v>
      </c>
      <c r="Z167">
        <f t="shared" si="23"/>
        <v>0.21821434157022207</v>
      </c>
    </row>
    <row r="168" spans="1:26">
      <c r="A168" s="2" t="s">
        <v>12</v>
      </c>
      <c r="B168" s="2" t="s">
        <v>7</v>
      </c>
      <c r="C168" s="15" t="s">
        <v>32</v>
      </c>
      <c r="D168" s="16" t="s">
        <v>216</v>
      </c>
      <c r="E168" s="15"/>
      <c r="F168" s="17">
        <v>1525.3</v>
      </c>
      <c r="G168" s="17">
        <v>128.32500000000002</v>
      </c>
      <c r="H168" s="18">
        <v>0.13100000000000001</v>
      </c>
      <c r="I168" s="19">
        <v>3.21</v>
      </c>
      <c r="J168" s="19">
        <v>2</v>
      </c>
      <c r="K168" s="19">
        <v>0.85</v>
      </c>
      <c r="L168" s="20">
        <v>27</v>
      </c>
      <c r="M168" s="28">
        <v>44.544320999999997</v>
      </c>
      <c r="N168" s="28">
        <v>11.382828</v>
      </c>
      <c r="O168" s="26">
        <f>IF(COUNTA(C168:N168),IF(LEFT(E$4,1)="C",ZenithAngle(M168,N168,D168,$I$4),L168),"---")</f>
        <v>27</v>
      </c>
      <c r="P168" s="26">
        <f t="shared" si="16"/>
        <v>0.85</v>
      </c>
      <c r="Q168" s="26">
        <f t="shared" si="18"/>
        <v>0.75144198109754745</v>
      </c>
      <c r="R168" s="26">
        <f t="shared" si="19"/>
        <v>8.4130990624795135E-2</v>
      </c>
      <c r="S168" s="27">
        <f t="shared" si="20"/>
        <v>3.4299533182102784</v>
      </c>
      <c r="T168" s="2">
        <f t="shared" si="21"/>
        <v>0.91586900937520488</v>
      </c>
      <c r="U168" s="2">
        <f t="shared" si="22"/>
        <v>8.4130990624795139</v>
      </c>
      <c r="V168" s="2">
        <f t="shared" si="17"/>
        <v>9.3289680718547192</v>
      </c>
      <c r="W168" s="2">
        <v>0</v>
      </c>
      <c r="X168" s="2">
        <v>0</v>
      </c>
      <c r="Y168" s="2">
        <v>0</v>
      </c>
      <c r="Z168">
        <f t="shared" si="23"/>
        <v>0.22896725234380122</v>
      </c>
    </row>
    <row r="169" spans="1:26">
      <c r="A169" s="2" t="s">
        <v>12</v>
      </c>
      <c r="B169" s="2" t="s">
        <v>7</v>
      </c>
      <c r="C169" s="15" t="s">
        <v>32</v>
      </c>
      <c r="D169" s="16" t="s">
        <v>217</v>
      </c>
      <c r="E169" s="15"/>
      <c r="F169" s="17">
        <v>1629.2</v>
      </c>
      <c r="G169" s="17">
        <v>283.87499999999994</v>
      </c>
      <c r="H169" s="18">
        <v>0.13100000000000001</v>
      </c>
      <c r="I169" s="19">
        <v>3.21</v>
      </c>
      <c r="J169" s="19">
        <v>2</v>
      </c>
      <c r="K169" s="19">
        <v>0.85</v>
      </c>
      <c r="L169" s="20">
        <v>27</v>
      </c>
      <c r="M169" s="28">
        <v>44.544320999999997</v>
      </c>
      <c r="N169" s="28">
        <v>11.382828</v>
      </c>
      <c r="O169" s="26">
        <f>IF(COUNTA(C169:N169),IF(LEFT(E$4,1)="C",ZenithAngle(M169,N169,D169,$I$4),L169),"---")</f>
        <v>27</v>
      </c>
      <c r="P169" s="26">
        <f t="shared" si="16"/>
        <v>0.85</v>
      </c>
      <c r="Q169" s="26">
        <f t="shared" si="18"/>
        <v>0.75144198109754745</v>
      </c>
      <c r="R169" s="26">
        <f t="shared" si="19"/>
        <v>0.17424195924380059</v>
      </c>
      <c r="S169" s="27">
        <f t="shared" si="20"/>
        <v>2.4211201252976973</v>
      </c>
      <c r="T169" s="2">
        <f t="shared" si="21"/>
        <v>0.82575804075619941</v>
      </c>
      <c r="U169" s="2">
        <f t="shared" si="22"/>
        <v>17.424195924380058</v>
      </c>
      <c r="V169" s="2">
        <f t="shared" si="17"/>
        <v>18.249953965136257</v>
      </c>
      <c r="W169" s="2">
        <v>0</v>
      </c>
      <c r="X169" s="2">
        <v>0</v>
      </c>
      <c r="Y169" s="2">
        <v>0</v>
      </c>
      <c r="Z169">
        <f t="shared" si="23"/>
        <v>0.20643951018904985</v>
      </c>
    </row>
    <row r="170" spans="1:26">
      <c r="A170" s="2" t="s">
        <v>12</v>
      </c>
      <c r="B170" s="2" t="s">
        <v>7</v>
      </c>
      <c r="C170" s="15" t="s">
        <v>32</v>
      </c>
      <c r="D170" s="16" t="s">
        <v>218</v>
      </c>
      <c r="E170" s="15"/>
      <c r="F170" s="17">
        <v>1436.2</v>
      </c>
      <c r="G170" s="17">
        <v>87.987499999999997</v>
      </c>
      <c r="H170" s="18">
        <v>0.13100000000000001</v>
      </c>
      <c r="I170" s="19">
        <v>3.21</v>
      </c>
      <c r="J170" s="19">
        <v>2</v>
      </c>
      <c r="K170" s="19">
        <v>0.85</v>
      </c>
      <c r="L170" s="20">
        <v>27</v>
      </c>
      <c r="M170" s="28">
        <v>44.544320999999997</v>
      </c>
      <c r="N170" s="28">
        <v>11.382828</v>
      </c>
      <c r="O170" s="26">
        <f>IF(COUNTA(C170:N170),IF(LEFT(E$4,1)="C",ZenithAngle(M170,N170,D170,$I$4),L170),"---")</f>
        <v>27</v>
      </c>
      <c r="P170" s="26">
        <f t="shared" si="16"/>
        <v>0.85</v>
      </c>
      <c r="Q170" s="26">
        <f t="shared" si="18"/>
        <v>0.75144198109754745</v>
      </c>
      <c r="R170" s="26">
        <f t="shared" si="19"/>
        <v>6.1264099707561616E-2</v>
      </c>
      <c r="S170" s="27">
        <f t="shared" si="20"/>
        <v>3.8694477839839805</v>
      </c>
      <c r="T170" s="2">
        <f t="shared" si="21"/>
        <v>0.93873590029243836</v>
      </c>
      <c r="U170" s="2">
        <f t="shared" si="22"/>
        <v>6.1264099707561614</v>
      </c>
      <c r="V170" s="2">
        <f t="shared" si="17"/>
        <v>7.0651458710485997</v>
      </c>
      <c r="W170" s="2">
        <v>0</v>
      </c>
      <c r="X170" s="2">
        <v>0</v>
      </c>
      <c r="Y170" s="2">
        <v>0</v>
      </c>
      <c r="Z170">
        <f t="shared" si="23"/>
        <v>0.23468397507310959</v>
      </c>
    </row>
    <row r="171" spans="1:26">
      <c r="A171" s="2" t="s">
        <v>12</v>
      </c>
      <c r="B171" s="2" t="s">
        <v>7</v>
      </c>
      <c r="C171" s="15" t="s">
        <v>32</v>
      </c>
      <c r="D171" s="16" t="s">
        <v>219</v>
      </c>
      <c r="E171" s="15"/>
      <c r="F171" s="17">
        <v>1591.8</v>
      </c>
      <c r="G171" s="17">
        <v>236.46249999999998</v>
      </c>
      <c r="H171" s="18">
        <v>0.13100000000000001</v>
      </c>
      <c r="I171" s="19">
        <v>3.21</v>
      </c>
      <c r="J171" s="19">
        <v>2</v>
      </c>
      <c r="K171" s="19">
        <v>0.85</v>
      </c>
      <c r="L171" s="20">
        <v>27</v>
      </c>
      <c r="M171" s="28">
        <v>44.544320999999997</v>
      </c>
      <c r="N171" s="28">
        <v>11.382828</v>
      </c>
      <c r="O171" s="26">
        <f>IF(COUNTA(C171:N171),IF(LEFT(E$4,1)="C",ZenithAngle(M171,N171,D171,$I$4),L171),"---")</f>
        <v>27</v>
      </c>
      <c r="P171" s="26">
        <f t="shared" si="16"/>
        <v>0.85</v>
      </c>
      <c r="Q171" s="26">
        <f t="shared" si="18"/>
        <v>0.75144198109754745</v>
      </c>
      <c r="R171" s="26">
        <f t="shared" si="19"/>
        <v>0.1485503832139716</v>
      </c>
      <c r="S171" s="27">
        <f t="shared" si="20"/>
        <v>2.6421563166699835</v>
      </c>
      <c r="T171" s="2">
        <f t="shared" si="21"/>
        <v>0.85144961678602837</v>
      </c>
      <c r="U171" s="2">
        <f t="shared" si="22"/>
        <v>14.85503832139716</v>
      </c>
      <c r="V171" s="2">
        <f t="shared" si="17"/>
        <v>15.706487938183189</v>
      </c>
      <c r="W171" s="2">
        <v>0</v>
      </c>
      <c r="X171" s="2">
        <v>0</v>
      </c>
      <c r="Y171" s="2">
        <v>0</v>
      </c>
      <c r="Z171">
        <f t="shared" si="23"/>
        <v>0.21286240419650709</v>
      </c>
    </row>
    <row r="172" spans="1:26">
      <c r="A172" s="2" t="s">
        <v>12</v>
      </c>
      <c r="B172" s="2" t="s">
        <v>7</v>
      </c>
      <c r="C172" s="15" t="s">
        <v>32</v>
      </c>
      <c r="D172" s="16" t="s">
        <v>220</v>
      </c>
      <c r="E172" s="15"/>
      <c r="F172" s="17">
        <v>1625.1</v>
      </c>
      <c r="G172" s="17">
        <v>302.85000000000002</v>
      </c>
      <c r="H172" s="18">
        <v>0.13100000000000001</v>
      </c>
      <c r="I172" s="19">
        <v>3.21</v>
      </c>
      <c r="J172" s="19">
        <v>2</v>
      </c>
      <c r="K172" s="19">
        <v>0.85</v>
      </c>
      <c r="L172" s="20">
        <v>27</v>
      </c>
      <c r="M172" s="28">
        <v>44.544320999999997</v>
      </c>
      <c r="N172" s="28">
        <v>11.382828</v>
      </c>
      <c r="O172" s="26">
        <f>IF(COUNTA(C172:N172),IF(LEFT(E$4,1)="C",ZenithAngle(M172,N172,D172,$I$4),L172),"---")</f>
        <v>27</v>
      </c>
      <c r="P172" s="26">
        <f t="shared" si="16"/>
        <v>0.85</v>
      </c>
      <c r="Q172" s="26">
        <f t="shared" si="18"/>
        <v>0.75144198109754745</v>
      </c>
      <c r="R172" s="26">
        <f t="shared" si="19"/>
        <v>0.18635776259922468</v>
      </c>
      <c r="S172" s="27">
        <f t="shared" si="20"/>
        <v>2.3279736103366413</v>
      </c>
      <c r="T172" s="2">
        <f t="shared" si="21"/>
        <v>0.81364223740077535</v>
      </c>
      <c r="U172" s="2">
        <f t="shared" si="22"/>
        <v>18.635776259922469</v>
      </c>
      <c r="V172" s="2">
        <f t="shared" si="17"/>
        <v>19.449418497323244</v>
      </c>
      <c r="W172" s="2">
        <v>0</v>
      </c>
      <c r="X172" s="2">
        <v>0</v>
      </c>
      <c r="Y172" s="2">
        <v>0</v>
      </c>
      <c r="Z172">
        <f t="shared" si="23"/>
        <v>0.20341055935019384</v>
      </c>
    </row>
    <row r="173" spans="1:26">
      <c r="A173" s="2" t="s">
        <v>12</v>
      </c>
      <c r="B173" s="2" t="s">
        <v>7</v>
      </c>
      <c r="C173" s="15" t="s">
        <v>32</v>
      </c>
      <c r="D173" s="16" t="s">
        <v>221</v>
      </c>
      <c r="E173" s="15"/>
      <c r="F173" s="17">
        <v>1593.1</v>
      </c>
      <c r="G173" s="17">
        <v>423.11249999999995</v>
      </c>
      <c r="H173" s="18">
        <v>0.13100000000000001</v>
      </c>
      <c r="I173" s="19">
        <v>3.21</v>
      </c>
      <c r="J173" s="19">
        <v>2</v>
      </c>
      <c r="K173" s="19">
        <v>0.85</v>
      </c>
      <c r="L173" s="20">
        <v>27</v>
      </c>
      <c r="M173" s="28">
        <v>44.544320999999997</v>
      </c>
      <c r="N173" s="28">
        <v>11.382828</v>
      </c>
      <c r="O173" s="26">
        <f>IF(COUNTA(C173:N173),IF(LEFT(E$4,1)="C",ZenithAngle(M173,N173,D173,$I$4),L173),"---")</f>
        <v>27</v>
      </c>
      <c r="P173" s="26">
        <f t="shared" si="16"/>
        <v>0.85</v>
      </c>
      <c r="Q173" s="26">
        <f t="shared" si="18"/>
        <v>0.75144198109754745</v>
      </c>
      <c r="R173" s="26">
        <f t="shared" si="19"/>
        <v>0.26559067227418237</v>
      </c>
      <c r="S173" s="27">
        <f t="shared" si="20"/>
        <v>1.8370626314390435</v>
      </c>
      <c r="T173" s="2">
        <f t="shared" si="21"/>
        <v>0.73440932772581768</v>
      </c>
      <c r="U173" s="2">
        <f t="shared" si="22"/>
        <v>26.559067227418236</v>
      </c>
      <c r="V173" s="2">
        <f t="shared" si="17"/>
        <v>27.293476555144053</v>
      </c>
      <c r="W173" s="2">
        <v>0</v>
      </c>
      <c r="X173" s="2">
        <v>0</v>
      </c>
      <c r="Y173" s="2">
        <v>0</v>
      </c>
      <c r="Z173">
        <f t="shared" si="23"/>
        <v>0.18360233193145442</v>
      </c>
    </row>
    <row r="174" spans="1:26">
      <c r="A174" s="2" t="s">
        <v>12</v>
      </c>
      <c r="B174" s="2" t="s">
        <v>7</v>
      </c>
      <c r="C174" s="15" t="s">
        <v>32</v>
      </c>
      <c r="D174" s="16" t="s">
        <v>222</v>
      </c>
      <c r="E174" s="15"/>
      <c r="F174" s="17">
        <v>1633.8</v>
      </c>
      <c r="G174" s="17">
        <v>191.1</v>
      </c>
      <c r="H174" s="18">
        <v>0.13100000000000001</v>
      </c>
      <c r="I174" s="19">
        <v>3.21</v>
      </c>
      <c r="J174" s="19">
        <v>2</v>
      </c>
      <c r="K174" s="19">
        <v>0.85</v>
      </c>
      <c r="L174" s="20">
        <v>27</v>
      </c>
      <c r="M174" s="28">
        <v>44.544320999999997</v>
      </c>
      <c r="N174" s="28">
        <v>11.382828</v>
      </c>
      <c r="O174" s="26">
        <f>IF(COUNTA(C174:N174),IF(LEFT(E$4,1)="C",ZenithAngle(M174,N174,D174,$I$4),L174),"---")</f>
        <v>27</v>
      </c>
      <c r="P174" s="26">
        <f t="shared" si="16"/>
        <v>0.85</v>
      </c>
      <c r="Q174" s="26">
        <f t="shared" si="18"/>
        <v>0.75144198109754745</v>
      </c>
      <c r="R174" s="26">
        <f t="shared" si="19"/>
        <v>0.11696658097686376</v>
      </c>
      <c r="S174" s="27">
        <f t="shared" si="20"/>
        <v>2.9733708996242769</v>
      </c>
      <c r="T174" s="2">
        <f t="shared" si="21"/>
        <v>0.88303341902313626</v>
      </c>
      <c r="U174" s="2">
        <f t="shared" si="22"/>
        <v>11.696658097686376</v>
      </c>
      <c r="V174" s="2">
        <f t="shared" si="17"/>
        <v>12.579691516709511</v>
      </c>
      <c r="W174" s="2">
        <v>0</v>
      </c>
      <c r="X174" s="2">
        <v>0</v>
      </c>
      <c r="Y174" s="2">
        <v>0</v>
      </c>
      <c r="Z174">
        <f t="shared" si="23"/>
        <v>0.22075835475578406</v>
      </c>
    </row>
    <row r="175" spans="1:26">
      <c r="A175" s="2" t="s">
        <v>12</v>
      </c>
      <c r="B175" s="2" t="s">
        <v>7</v>
      </c>
      <c r="C175" s="15" t="s">
        <v>32</v>
      </c>
      <c r="D175" s="16" t="s">
        <v>223</v>
      </c>
      <c r="E175" s="15"/>
      <c r="F175" s="17">
        <v>1741</v>
      </c>
      <c r="G175" s="17">
        <v>152.4</v>
      </c>
      <c r="H175" s="18">
        <v>0.13100000000000001</v>
      </c>
      <c r="I175" s="19">
        <v>3.21</v>
      </c>
      <c r="J175" s="19">
        <v>2</v>
      </c>
      <c r="K175" s="19">
        <v>0.85</v>
      </c>
      <c r="L175" s="20">
        <v>27</v>
      </c>
      <c r="M175" s="28">
        <v>44.544320999999997</v>
      </c>
      <c r="N175" s="28">
        <v>11.382828</v>
      </c>
      <c r="O175" s="26">
        <f>IF(COUNTA(C175:N175),IF(LEFT(E$4,1)="C",ZenithAngle(M175,N175,D175,$I$4),L175),"---")</f>
        <v>27</v>
      </c>
      <c r="P175" s="26">
        <f t="shared" si="16"/>
        <v>0.85</v>
      </c>
      <c r="Q175" s="26">
        <f t="shared" si="18"/>
        <v>0.75144198109754745</v>
      </c>
      <c r="R175" s="26">
        <f t="shared" si="19"/>
        <v>8.7535898908673179E-2</v>
      </c>
      <c r="S175" s="27">
        <f t="shared" si="20"/>
        <v>3.3749799789473838</v>
      </c>
      <c r="T175" s="2">
        <f t="shared" si="21"/>
        <v>0.91246410109132681</v>
      </c>
      <c r="U175" s="2">
        <f t="shared" si="22"/>
        <v>8.7535898908673175</v>
      </c>
      <c r="V175" s="2">
        <f t="shared" si="17"/>
        <v>9.6660539919586448</v>
      </c>
      <c r="W175" s="2">
        <v>0</v>
      </c>
      <c r="X175" s="2">
        <v>0</v>
      </c>
      <c r="Y175" s="2">
        <v>0</v>
      </c>
      <c r="Z175">
        <f t="shared" si="23"/>
        <v>0.2281160252728317</v>
      </c>
    </row>
    <row r="176" spans="1:26">
      <c r="A176" s="2" t="s">
        <v>12</v>
      </c>
      <c r="B176" s="2" t="s">
        <v>7</v>
      </c>
      <c r="C176" s="15" t="s">
        <v>32</v>
      </c>
      <c r="D176" s="16" t="s">
        <v>224</v>
      </c>
      <c r="E176" s="15"/>
      <c r="F176" s="17">
        <v>1697.1</v>
      </c>
      <c r="G176" s="17">
        <v>104.41249999999998</v>
      </c>
      <c r="H176" s="18">
        <v>0.13100000000000001</v>
      </c>
      <c r="I176" s="19">
        <v>3.21</v>
      </c>
      <c r="J176" s="19">
        <v>2</v>
      </c>
      <c r="K176" s="19">
        <v>0.85</v>
      </c>
      <c r="L176" s="20">
        <v>27</v>
      </c>
      <c r="M176" s="28">
        <v>44.544320999999997</v>
      </c>
      <c r="N176" s="28">
        <v>11.382828</v>
      </c>
      <c r="O176" s="26">
        <f>IF(COUNTA(C176:N176),IF(LEFT(E$4,1)="C",ZenithAngle(M176,N176,D176,$I$4),L176),"---")</f>
        <v>27</v>
      </c>
      <c r="P176" s="26">
        <f t="shared" si="16"/>
        <v>0.85</v>
      </c>
      <c r="Q176" s="26">
        <f t="shared" si="18"/>
        <v>0.75144198109754745</v>
      </c>
      <c r="R176" s="26">
        <f t="shared" si="19"/>
        <v>6.1524070473160088E-2</v>
      </c>
      <c r="S176" s="27">
        <f t="shared" si="20"/>
        <v>3.8635803945783542</v>
      </c>
      <c r="T176" s="2">
        <f t="shared" si="21"/>
        <v>0.93847592952683989</v>
      </c>
      <c r="U176" s="2">
        <f t="shared" si="22"/>
        <v>6.1524070473160091</v>
      </c>
      <c r="V176" s="2">
        <f t="shared" si="17"/>
        <v>7.090882976842849</v>
      </c>
      <c r="W176" s="2">
        <v>0</v>
      </c>
      <c r="X176" s="2">
        <v>0</v>
      </c>
      <c r="Y176" s="2">
        <v>0</v>
      </c>
      <c r="Z176">
        <f t="shared" si="23"/>
        <v>0.23461898238170997</v>
      </c>
    </row>
    <row r="177" spans="1:26">
      <c r="A177" s="2" t="s">
        <v>12</v>
      </c>
      <c r="B177" s="2" t="s">
        <v>8</v>
      </c>
      <c r="C177" s="15" t="s">
        <v>32</v>
      </c>
      <c r="D177" s="16" t="s">
        <v>225</v>
      </c>
      <c r="E177" s="15"/>
      <c r="F177" s="17">
        <v>1607</v>
      </c>
      <c r="G177" s="17">
        <v>533.16250000000002</v>
      </c>
      <c r="H177" s="18">
        <v>0.34300000000000003</v>
      </c>
      <c r="I177" s="19">
        <v>2.0499999999999998</v>
      </c>
      <c r="J177" s="19">
        <v>2</v>
      </c>
      <c r="K177" s="19">
        <v>0.81</v>
      </c>
      <c r="L177" s="20">
        <v>27</v>
      </c>
      <c r="M177" s="28">
        <v>44.544320999999997</v>
      </c>
      <c r="N177" s="28">
        <v>11.382828</v>
      </c>
      <c r="O177" s="26">
        <f>IF(COUNTA(C177:N177),IF(LEFT(E$4,1)="C",ZenithAngle(M177,N177,D177,$I$4),L177),"---")</f>
        <v>27</v>
      </c>
      <c r="P177" s="26">
        <f t="shared" si="16"/>
        <v>0.81</v>
      </c>
      <c r="Q177" s="26">
        <f t="shared" si="18"/>
        <v>0.75144198109754745</v>
      </c>
      <c r="R177" s="26">
        <f t="shared" si="19"/>
        <v>0.3317750466708152</v>
      </c>
      <c r="S177" s="27">
        <f t="shared" si="20"/>
        <v>1.5100776668065385</v>
      </c>
      <c r="T177" s="2">
        <f t="shared" si="21"/>
        <v>0.66822495332918486</v>
      </c>
      <c r="U177" s="2">
        <f t="shared" si="22"/>
        <v>33.177504667081521</v>
      </c>
      <c r="V177" s="2">
        <f t="shared" si="17"/>
        <v>33.845729620410708</v>
      </c>
      <c r="W177" s="2">
        <v>0</v>
      </c>
      <c r="X177" s="2">
        <v>0</v>
      </c>
      <c r="Y177" s="2">
        <v>0</v>
      </c>
      <c r="Z177">
        <f t="shared" si="23"/>
        <v>0.16705623833229621</v>
      </c>
    </row>
    <row r="178" spans="1:26">
      <c r="A178" s="2" t="s">
        <v>12</v>
      </c>
      <c r="B178" s="2" t="s">
        <v>8</v>
      </c>
      <c r="C178" s="15" t="s">
        <v>32</v>
      </c>
      <c r="D178" s="16" t="s">
        <v>226</v>
      </c>
      <c r="E178" s="15"/>
      <c r="F178" s="17">
        <v>1599.9</v>
      </c>
      <c r="G178" s="17">
        <v>617.1</v>
      </c>
      <c r="H178" s="18">
        <v>0.34300000000000003</v>
      </c>
      <c r="I178" s="19">
        <v>2.0499999999999998</v>
      </c>
      <c r="J178" s="19">
        <v>2</v>
      </c>
      <c r="K178" s="19">
        <v>0.81</v>
      </c>
      <c r="L178" s="20">
        <v>27</v>
      </c>
      <c r="M178" s="28">
        <v>44.544320999999997</v>
      </c>
      <c r="N178" s="28">
        <v>11.382828</v>
      </c>
      <c r="O178" s="26">
        <f>IF(COUNTA(C178:N178),IF(LEFT(E$4,1)="C",ZenithAngle(M178,N178,D178,$I$4),L178),"---")</f>
        <v>27</v>
      </c>
      <c r="P178" s="26">
        <f t="shared" si="16"/>
        <v>0.81</v>
      </c>
      <c r="Q178" s="26">
        <f t="shared" si="18"/>
        <v>0.75144198109754745</v>
      </c>
      <c r="R178" s="26">
        <f t="shared" si="19"/>
        <v>0.38571160697543594</v>
      </c>
      <c r="S178" s="27">
        <f t="shared" si="20"/>
        <v>1.3039074499264605</v>
      </c>
      <c r="T178" s="2">
        <f t="shared" si="21"/>
        <v>0.61428839302456406</v>
      </c>
      <c r="U178" s="2">
        <f t="shared" si="22"/>
        <v>38.571160697543597</v>
      </c>
      <c r="V178" s="2">
        <f t="shared" si="17"/>
        <v>39.185449090568163</v>
      </c>
      <c r="W178" s="2">
        <v>0</v>
      </c>
      <c r="X178" s="2">
        <v>0</v>
      </c>
      <c r="Y178" s="2">
        <v>0</v>
      </c>
      <c r="Z178">
        <f t="shared" si="23"/>
        <v>0.15357209825614102</v>
      </c>
    </row>
    <row r="179" spans="1:26">
      <c r="A179" s="2" t="s">
        <v>12</v>
      </c>
      <c r="B179" s="2" t="s">
        <v>8</v>
      </c>
      <c r="C179" s="15" t="s">
        <v>32</v>
      </c>
      <c r="D179" s="16" t="s">
        <v>227</v>
      </c>
      <c r="E179" s="15"/>
      <c r="F179" s="17">
        <v>1650.6</v>
      </c>
      <c r="G179" s="17">
        <v>856.25</v>
      </c>
      <c r="H179" s="18">
        <v>0.34300000000000003</v>
      </c>
      <c r="I179" s="19">
        <v>2.0499999999999998</v>
      </c>
      <c r="J179" s="19">
        <v>2</v>
      </c>
      <c r="K179" s="19">
        <v>0.81</v>
      </c>
      <c r="L179" s="20">
        <v>27</v>
      </c>
      <c r="M179" s="28">
        <v>44.544320999999997</v>
      </c>
      <c r="N179" s="28">
        <v>11.382828</v>
      </c>
      <c r="O179" s="26">
        <f>IF(COUNTA(C179:N179),IF(LEFT(E$4,1)="C",ZenithAngle(M179,N179,D179,$I$4),L179),"---")</f>
        <v>27</v>
      </c>
      <c r="P179" s="26">
        <f t="shared" si="16"/>
        <v>0.81</v>
      </c>
      <c r="Q179" s="26">
        <f t="shared" si="18"/>
        <v>0.75144198109754745</v>
      </c>
      <c r="R179" s="26">
        <f t="shared" si="19"/>
        <v>0.51875075730037568</v>
      </c>
      <c r="S179" s="27">
        <f t="shared" si="20"/>
        <v>0.89831742216073418</v>
      </c>
      <c r="T179" s="2">
        <f t="shared" si="21"/>
        <v>0.48124924269962432</v>
      </c>
      <c r="U179" s="2">
        <f t="shared" si="22"/>
        <v>51.875075730037565</v>
      </c>
      <c r="V179" s="2">
        <f t="shared" si="17"/>
        <v>52.356324972737191</v>
      </c>
      <c r="W179" s="2">
        <v>0</v>
      </c>
      <c r="X179" s="2">
        <v>0</v>
      </c>
      <c r="Y179" s="2">
        <v>0</v>
      </c>
      <c r="Z179">
        <f t="shared" si="23"/>
        <v>0.12031231067490608</v>
      </c>
    </row>
    <row r="180" spans="1:26">
      <c r="A180" s="2" t="s">
        <v>12</v>
      </c>
      <c r="B180" s="2" t="s">
        <v>8</v>
      </c>
      <c r="C180" s="15" t="s">
        <v>32</v>
      </c>
      <c r="D180" s="16" t="s">
        <v>228</v>
      </c>
      <c r="E180" s="15"/>
      <c r="F180" s="17">
        <v>1590.7</v>
      </c>
      <c r="G180" s="17">
        <v>683.1</v>
      </c>
      <c r="H180" s="18">
        <v>0.34300000000000003</v>
      </c>
      <c r="I180" s="19">
        <v>2.0499999999999998</v>
      </c>
      <c r="J180" s="19">
        <v>2</v>
      </c>
      <c r="K180" s="19">
        <v>0.81</v>
      </c>
      <c r="L180" s="20">
        <v>27</v>
      </c>
      <c r="M180" s="28">
        <v>44.544320999999997</v>
      </c>
      <c r="N180" s="28">
        <v>11.382828</v>
      </c>
      <c r="O180" s="26">
        <f>IF(COUNTA(C180:N180),IF(LEFT(E$4,1)="C",ZenithAngle(M180,N180,D180,$I$4),L180),"---")</f>
        <v>27</v>
      </c>
      <c r="P180" s="26">
        <f t="shared" si="16"/>
        <v>0.81</v>
      </c>
      <c r="Q180" s="26">
        <f t="shared" si="18"/>
        <v>0.75144198109754745</v>
      </c>
      <c r="R180" s="26">
        <f t="shared" si="19"/>
        <v>0.42943358269944049</v>
      </c>
      <c r="S180" s="27">
        <f t="shared" si="20"/>
        <v>1.1569409966437996</v>
      </c>
      <c r="T180" s="2">
        <f t="shared" si="21"/>
        <v>0.57056641730055957</v>
      </c>
      <c r="U180" s="2">
        <f t="shared" si="22"/>
        <v>42.943358269944049</v>
      </c>
      <c r="V180" s="2">
        <f t="shared" si="17"/>
        <v>43.513924687244611</v>
      </c>
      <c r="W180" s="2">
        <v>0</v>
      </c>
      <c r="X180" s="2">
        <v>0</v>
      </c>
      <c r="Y180" s="2">
        <v>0</v>
      </c>
      <c r="Z180">
        <f t="shared" si="23"/>
        <v>0.14264160432513989</v>
      </c>
    </row>
    <row r="181" spans="1:26">
      <c r="A181" s="2" t="s">
        <v>12</v>
      </c>
      <c r="B181" s="2" t="s">
        <v>8</v>
      </c>
      <c r="C181" s="15" t="s">
        <v>32</v>
      </c>
      <c r="D181" s="16" t="s">
        <v>229</v>
      </c>
      <c r="E181" s="15"/>
      <c r="F181" s="17">
        <v>1259.2</v>
      </c>
      <c r="G181" s="17">
        <v>517.08749999999998</v>
      </c>
      <c r="H181" s="18">
        <v>0.34300000000000003</v>
      </c>
      <c r="I181" s="19">
        <v>2.0499999999999998</v>
      </c>
      <c r="J181" s="19">
        <v>2</v>
      </c>
      <c r="K181" s="19">
        <v>0.81</v>
      </c>
      <c r="L181" s="20">
        <v>27</v>
      </c>
      <c r="M181" s="28">
        <v>44.544320999999997</v>
      </c>
      <c r="N181" s="28">
        <v>11.382828</v>
      </c>
      <c r="O181" s="26">
        <f>IF(COUNTA(C181:N181),IF(LEFT(E$4,1)="C",ZenithAngle(M181,N181,D181,$I$4),L181),"---")</f>
        <v>27</v>
      </c>
      <c r="P181" s="26">
        <f t="shared" si="16"/>
        <v>0.81</v>
      </c>
      <c r="Q181" s="26">
        <f t="shared" si="18"/>
        <v>0.75144198109754745</v>
      </c>
      <c r="R181" s="26">
        <f t="shared" si="19"/>
        <v>0.41064763341804317</v>
      </c>
      <c r="S181" s="27">
        <f t="shared" si="20"/>
        <v>1.2181648534376239</v>
      </c>
      <c r="T181" s="2">
        <f t="shared" si="21"/>
        <v>0.58935236658195689</v>
      </c>
      <c r="U181" s="2">
        <f t="shared" si="22"/>
        <v>41.064763341804316</v>
      </c>
      <c r="V181" s="2">
        <f t="shared" si="17"/>
        <v>41.654115708386271</v>
      </c>
      <c r="W181" s="2">
        <v>0</v>
      </c>
      <c r="X181" s="2">
        <v>0</v>
      </c>
      <c r="Y181" s="2">
        <v>0</v>
      </c>
      <c r="Z181">
        <f t="shared" si="23"/>
        <v>0.14733809164548922</v>
      </c>
    </row>
    <row r="182" spans="1:26">
      <c r="A182" s="2" t="s">
        <v>12</v>
      </c>
      <c r="B182" s="2" t="s">
        <v>8</v>
      </c>
      <c r="C182" s="15" t="s">
        <v>32</v>
      </c>
      <c r="D182" s="16" t="s">
        <v>230</v>
      </c>
      <c r="E182" s="15"/>
      <c r="F182" s="17">
        <v>1745.8</v>
      </c>
      <c r="G182" s="17">
        <v>424.02500000000003</v>
      </c>
      <c r="H182" s="18">
        <v>0.34300000000000003</v>
      </c>
      <c r="I182" s="19">
        <v>2.0499999999999998</v>
      </c>
      <c r="J182" s="19">
        <v>2</v>
      </c>
      <c r="K182" s="19">
        <v>0.81</v>
      </c>
      <c r="L182" s="20">
        <v>27</v>
      </c>
      <c r="M182" s="28">
        <v>44.544320999999997</v>
      </c>
      <c r="N182" s="28">
        <v>11.382828</v>
      </c>
      <c r="O182" s="26">
        <f>IF(COUNTA(C182:N182),IF(LEFT(E$4,1)="C",ZenithAngle(M182,N182,D182,$I$4),L182),"---")</f>
        <v>27</v>
      </c>
      <c r="P182" s="26">
        <f t="shared" si="16"/>
        <v>0.81</v>
      </c>
      <c r="Q182" s="26">
        <f t="shared" si="18"/>
        <v>0.75144198109754745</v>
      </c>
      <c r="R182" s="26">
        <f t="shared" si="19"/>
        <v>0.24288291900561348</v>
      </c>
      <c r="S182" s="27">
        <f t="shared" si="20"/>
        <v>1.9369427902715353</v>
      </c>
      <c r="T182" s="2">
        <f t="shared" si="21"/>
        <v>0.75711708099438657</v>
      </c>
      <c r="U182" s="2">
        <f t="shared" si="22"/>
        <v>24.288291900561347</v>
      </c>
      <c r="V182" s="2">
        <f t="shared" si="17"/>
        <v>25.045408981555735</v>
      </c>
      <c r="W182" s="2">
        <v>0</v>
      </c>
      <c r="X182" s="2">
        <v>0</v>
      </c>
      <c r="Y182" s="2">
        <v>0</v>
      </c>
      <c r="Z182">
        <f t="shared" si="23"/>
        <v>0.18927927024859664</v>
      </c>
    </row>
    <row r="183" spans="1:26">
      <c r="A183" s="2" t="s">
        <v>12</v>
      </c>
      <c r="B183" s="2" t="s">
        <v>8</v>
      </c>
      <c r="C183" s="15" t="s">
        <v>32</v>
      </c>
      <c r="D183" s="16" t="s">
        <v>231</v>
      </c>
      <c r="E183" s="15"/>
      <c r="F183" s="17">
        <v>1642.4</v>
      </c>
      <c r="G183" s="17">
        <v>563.58750000000009</v>
      </c>
      <c r="H183" s="18">
        <v>0.34300000000000003</v>
      </c>
      <c r="I183" s="19">
        <v>2.0499999999999998</v>
      </c>
      <c r="J183" s="19">
        <v>2</v>
      </c>
      <c r="K183" s="19">
        <v>0.81</v>
      </c>
      <c r="L183" s="20">
        <v>27</v>
      </c>
      <c r="M183" s="28">
        <v>44.544320999999997</v>
      </c>
      <c r="N183" s="28">
        <v>11.382828</v>
      </c>
      <c r="O183" s="26">
        <f>IF(COUNTA(C183:N183),IF(LEFT(E$4,1)="C",ZenithAngle(M183,N183,D183,$I$4),L183),"---")</f>
        <v>27</v>
      </c>
      <c r="P183" s="26">
        <f t="shared" si="16"/>
        <v>0.81</v>
      </c>
      <c r="Q183" s="26">
        <f t="shared" si="18"/>
        <v>0.75144198109754745</v>
      </c>
      <c r="R183" s="26">
        <f t="shared" si="19"/>
        <v>0.34314874573794452</v>
      </c>
      <c r="S183" s="27">
        <f t="shared" si="20"/>
        <v>1.4639433050117918</v>
      </c>
      <c r="T183" s="2">
        <f t="shared" si="21"/>
        <v>0.65685125426205548</v>
      </c>
      <c r="U183" s="2">
        <f t="shared" si="22"/>
        <v>34.314874573794455</v>
      </c>
      <c r="V183" s="2">
        <f t="shared" si="17"/>
        <v>34.971725828056513</v>
      </c>
      <c r="W183" s="2">
        <v>0</v>
      </c>
      <c r="X183" s="2">
        <v>0</v>
      </c>
      <c r="Y183" s="2">
        <v>0</v>
      </c>
      <c r="Z183">
        <f t="shared" si="23"/>
        <v>0.16421281356551387</v>
      </c>
    </row>
    <row r="184" spans="1:26">
      <c r="A184" s="2" t="s">
        <v>12</v>
      </c>
      <c r="B184" s="2" t="s">
        <v>8</v>
      </c>
      <c r="C184" s="15" t="s">
        <v>32</v>
      </c>
      <c r="D184" s="16" t="s">
        <v>232</v>
      </c>
      <c r="E184" s="15"/>
      <c r="F184" s="17">
        <v>1682.5</v>
      </c>
      <c r="G184" s="17">
        <v>316.08749999999998</v>
      </c>
      <c r="H184" s="18">
        <v>0.34300000000000003</v>
      </c>
      <c r="I184" s="19">
        <v>2.0499999999999998</v>
      </c>
      <c r="J184" s="19">
        <v>2</v>
      </c>
      <c r="K184" s="19">
        <v>0.81</v>
      </c>
      <c r="L184" s="20">
        <v>27</v>
      </c>
      <c r="M184" s="28">
        <v>44.544320999999997</v>
      </c>
      <c r="N184" s="28">
        <v>11.382828</v>
      </c>
      <c r="O184" s="26">
        <f>IF(COUNTA(C184:N184),IF(LEFT(E$4,1)="C",ZenithAngle(M184,N184,D184,$I$4),L184),"---")</f>
        <v>27</v>
      </c>
      <c r="P184" s="26">
        <f t="shared" si="16"/>
        <v>0.81</v>
      </c>
      <c r="Q184" s="26">
        <f t="shared" si="18"/>
        <v>0.75144198109754745</v>
      </c>
      <c r="R184" s="26">
        <f t="shared" si="19"/>
        <v>0.18786775631500741</v>
      </c>
      <c r="S184" s="27">
        <f t="shared" si="20"/>
        <v>2.2884798664357926</v>
      </c>
      <c r="T184" s="2">
        <f t="shared" si="21"/>
        <v>0.81213224368499259</v>
      </c>
      <c r="U184" s="2">
        <f t="shared" si="22"/>
        <v>18.786775631500742</v>
      </c>
      <c r="V184" s="2">
        <f t="shared" si="17"/>
        <v>19.598907875185734</v>
      </c>
      <c r="W184" s="2">
        <v>0</v>
      </c>
      <c r="X184" s="2">
        <v>0</v>
      </c>
      <c r="Y184" s="2">
        <v>0</v>
      </c>
      <c r="Z184">
        <f t="shared" si="23"/>
        <v>0.20303306092124815</v>
      </c>
    </row>
    <row r="185" spans="1:26">
      <c r="A185" s="2" t="s">
        <v>12</v>
      </c>
      <c r="B185" s="2" t="s">
        <v>8</v>
      </c>
      <c r="C185" s="15" t="s">
        <v>32</v>
      </c>
      <c r="D185" s="16" t="s">
        <v>233</v>
      </c>
      <c r="E185" s="15"/>
      <c r="F185" s="17">
        <v>1687.3</v>
      </c>
      <c r="G185" s="17">
        <v>650.16250000000002</v>
      </c>
      <c r="H185" s="18">
        <v>0.34300000000000003</v>
      </c>
      <c r="I185" s="19">
        <v>2.0499999999999998</v>
      </c>
      <c r="J185" s="19">
        <v>2</v>
      </c>
      <c r="K185" s="19">
        <v>0.81</v>
      </c>
      <c r="L185" s="20">
        <v>27</v>
      </c>
      <c r="M185" s="28">
        <v>44.544320999999997</v>
      </c>
      <c r="N185" s="28">
        <v>11.382828</v>
      </c>
      <c r="O185" s="26">
        <f>IF(COUNTA(C185:N185),IF(LEFT(E$4,1)="C",ZenithAngle(M185,N185,D185,$I$4),L185),"---")</f>
        <v>27</v>
      </c>
      <c r="P185" s="26">
        <f t="shared" si="16"/>
        <v>0.81</v>
      </c>
      <c r="Q185" s="26">
        <f t="shared" si="18"/>
        <v>0.75144198109754745</v>
      </c>
      <c r="R185" s="26">
        <f t="shared" si="19"/>
        <v>0.38532714988443079</v>
      </c>
      <c r="S185" s="27">
        <f t="shared" si="20"/>
        <v>1.3052723727908457</v>
      </c>
      <c r="T185" s="2">
        <f t="shared" si="21"/>
        <v>0.61467285011556916</v>
      </c>
      <c r="U185" s="2">
        <f t="shared" si="22"/>
        <v>38.532714988443075</v>
      </c>
      <c r="V185" s="2">
        <f t="shared" si="17"/>
        <v>39.147387838558643</v>
      </c>
      <c r="W185" s="2">
        <v>0</v>
      </c>
      <c r="X185" s="2">
        <v>0</v>
      </c>
      <c r="Y185" s="2">
        <v>0</v>
      </c>
      <c r="Z185">
        <f t="shared" si="23"/>
        <v>0.15366821252889229</v>
      </c>
    </row>
    <row r="186" spans="1:26">
      <c r="A186" s="2" t="s">
        <v>12</v>
      </c>
      <c r="B186" s="2" t="s">
        <v>8</v>
      </c>
      <c r="C186" s="15" t="s">
        <v>32</v>
      </c>
      <c r="D186" s="16" t="s">
        <v>234</v>
      </c>
      <c r="E186" s="15"/>
      <c r="F186" s="17">
        <v>1599.2</v>
      </c>
      <c r="G186" s="17">
        <v>394.8125</v>
      </c>
      <c r="H186" s="18">
        <v>0.34300000000000003</v>
      </c>
      <c r="I186" s="19">
        <v>2.0499999999999998</v>
      </c>
      <c r="J186" s="19">
        <v>2</v>
      </c>
      <c r="K186" s="19">
        <v>0.81</v>
      </c>
      <c r="L186" s="20">
        <v>27</v>
      </c>
      <c r="M186" s="28">
        <v>44.544320999999997</v>
      </c>
      <c r="N186" s="28">
        <v>11.382828</v>
      </c>
      <c r="O186" s="26">
        <f>IF(COUNTA(C186:N186),IF(LEFT(E$4,1)="C",ZenithAngle(M186,N186,D186,$I$4),L186),"---")</f>
        <v>27</v>
      </c>
      <c r="P186" s="26">
        <f t="shared" si="16"/>
        <v>0.81</v>
      </c>
      <c r="Q186" s="26">
        <f t="shared" si="18"/>
        <v>0.75144198109754745</v>
      </c>
      <c r="R186" s="26">
        <f t="shared" si="19"/>
        <v>0.24688125312656328</v>
      </c>
      <c r="S186" s="27">
        <f t="shared" si="20"/>
        <v>1.9145948178958587</v>
      </c>
      <c r="T186" s="2">
        <f t="shared" si="21"/>
        <v>0.75311874687343672</v>
      </c>
      <c r="U186" s="2">
        <f t="shared" si="22"/>
        <v>24.688125312656329</v>
      </c>
      <c r="V186" s="2">
        <f t="shared" si="17"/>
        <v>25.441244059529765</v>
      </c>
      <c r="W186" s="2">
        <v>0</v>
      </c>
      <c r="X186" s="2">
        <v>0</v>
      </c>
      <c r="Y186" s="2">
        <v>0</v>
      </c>
      <c r="Z186">
        <f t="shared" si="23"/>
        <v>0.18827968671835918</v>
      </c>
    </row>
    <row r="187" spans="1:26">
      <c r="A187" s="2" t="s">
        <v>12</v>
      </c>
      <c r="B187" s="2" t="s">
        <v>9</v>
      </c>
      <c r="C187" s="15" t="s">
        <v>32</v>
      </c>
      <c r="D187" s="16" t="s">
        <v>235</v>
      </c>
      <c r="E187" s="15"/>
      <c r="F187" s="17">
        <v>1568.4</v>
      </c>
      <c r="G187" s="17">
        <v>345.75</v>
      </c>
      <c r="H187" s="18">
        <v>0.16800000000000001</v>
      </c>
      <c r="I187" s="19">
        <v>2.93</v>
      </c>
      <c r="J187" s="19">
        <v>2</v>
      </c>
      <c r="K187" s="19">
        <v>0.86</v>
      </c>
      <c r="L187" s="20">
        <v>27</v>
      </c>
      <c r="M187" s="28">
        <v>44.544320999999997</v>
      </c>
      <c r="N187" s="28">
        <v>11.382828</v>
      </c>
      <c r="O187" s="26">
        <f>IF(COUNTA(C187:N187),IF(LEFT(E$4,1)="C",ZenithAngle(M187,N187,D187,$I$4),L187),"---")</f>
        <v>27</v>
      </c>
      <c r="P187" s="26">
        <f t="shared" si="16"/>
        <v>0.86</v>
      </c>
      <c r="Q187" s="26">
        <f t="shared" si="18"/>
        <v>0.75144198109754745</v>
      </c>
      <c r="R187" s="26">
        <f t="shared" si="19"/>
        <v>0.22044758990053556</v>
      </c>
      <c r="S187" s="27">
        <f t="shared" si="20"/>
        <v>2.1018532335103166</v>
      </c>
      <c r="T187" s="2">
        <f t="shared" si="21"/>
        <v>0.77955241009946441</v>
      </c>
      <c r="U187" s="2">
        <f t="shared" si="22"/>
        <v>22.044758990053555</v>
      </c>
      <c r="V187" s="2">
        <f t="shared" si="17"/>
        <v>22.824311400153022</v>
      </c>
      <c r="W187" s="2">
        <v>0</v>
      </c>
      <c r="X187" s="2">
        <v>0</v>
      </c>
      <c r="Y187" s="2">
        <v>0</v>
      </c>
      <c r="Z187">
        <f t="shared" si="23"/>
        <v>0.1948881025248661</v>
      </c>
    </row>
    <row r="188" spans="1:26">
      <c r="A188" s="2" t="s">
        <v>12</v>
      </c>
      <c r="B188" s="2" t="s">
        <v>9</v>
      </c>
      <c r="C188" s="15" t="s">
        <v>32</v>
      </c>
      <c r="D188" s="16" t="s">
        <v>236</v>
      </c>
      <c r="E188" s="15"/>
      <c r="F188" s="17">
        <v>1369</v>
      </c>
      <c r="G188" s="17">
        <v>342.15000000000003</v>
      </c>
      <c r="H188" s="18">
        <v>0.16800000000000001</v>
      </c>
      <c r="I188" s="19">
        <v>2.93</v>
      </c>
      <c r="J188" s="19">
        <v>2</v>
      </c>
      <c r="K188" s="19">
        <v>0.86</v>
      </c>
      <c r="L188" s="20">
        <v>27</v>
      </c>
      <c r="M188" s="28">
        <v>44.544320999999997</v>
      </c>
      <c r="N188" s="28">
        <v>11.382828</v>
      </c>
      <c r="O188" s="26">
        <f>IF(COUNTA(C188:N188),IF(LEFT(E$4,1)="C",ZenithAngle(M188,N188,D188,$I$4),L188),"---")</f>
        <v>27</v>
      </c>
      <c r="P188" s="26">
        <f t="shared" si="16"/>
        <v>0.86</v>
      </c>
      <c r="Q188" s="26">
        <f t="shared" si="18"/>
        <v>0.75144198109754745</v>
      </c>
      <c r="R188" s="26">
        <f t="shared" si="19"/>
        <v>0.24992695398100806</v>
      </c>
      <c r="S188" s="27">
        <f t="shared" si="20"/>
        <v>1.9273927400889974</v>
      </c>
      <c r="T188" s="2">
        <f t="shared" si="21"/>
        <v>0.75007304601899194</v>
      </c>
      <c r="U188" s="2">
        <f t="shared" si="22"/>
        <v>24.992695398100807</v>
      </c>
      <c r="V188" s="2">
        <f t="shared" si="17"/>
        <v>25.7427684441198</v>
      </c>
      <c r="W188" s="2">
        <v>0</v>
      </c>
      <c r="X188" s="2">
        <v>0</v>
      </c>
      <c r="Y188" s="2">
        <v>0</v>
      </c>
      <c r="Z188">
        <f t="shared" si="23"/>
        <v>0.18751826150474799</v>
      </c>
    </row>
    <row r="189" spans="1:26">
      <c r="A189" s="2" t="s">
        <v>12</v>
      </c>
      <c r="B189" s="2" t="s">
        <v>9</v>
      </c>
      <c r="C189" s="15" t="s">
        <v>32</v>
      </c>
      <c r="D189" s="16" t="s">
        <v>237</v>
      </c>
      <c r="E189" s="15"/>
      <c r="F189" s="17">
        <v>1612.3</v>
      </c>
      <c r="G189" s="17">
        <v>135.91249999999999</v>
      </c>
      <c r="H189" s="18">
        <v>0.16800000000000001</v>
      </c>
      <c r="I189" s="19">
        <v>2.93</v>
      </c>
      <c r="J189" s="19">
        <v>2</v>
      </c>
      <c r="K189" s="19">
        <v>0.86</v>
      </c>
      <c r="L189" s="20">
        <v>27</v>
      </c>
      <c r="M189" s="28">
        <v>44.544320999999997</v>
      </c>
      <c r="N189" s="28">
        <v>11.382828</v>
      </c>
      <c r="O189" s="26">
        <f>IF(COUNTA(C189:N189),IF(LEFT(E$4,1)="C",ZenithAngle(M189,N189,D189,$I$4),L189),"---")</f>
        <v>27</v>
      </c>
      <c r="P189" s="26">
        <f t="shared" si="16"/>
        <v>0.86</v>
      </c>
      <c r="Q189" s="26">
        <f t="shared" si="18"/>
        <v>0.75144198109754745</v>
      </c>
      <c r="R189" s="26">
        <f t="shared" si="19"/>
        <v>8.4297277181665936E-2</v>
      </c>
      <c r="S189" s="27">
        <f t="shared" si="20"/>
        <v>3.438100625962496</v>
      </c>
      <c r="T189" s="2">
        <f t="shared" si="21"/>
        <v>0.91570272281833409</v>
      </c>
      <c r="U189" s="2">
        <f t="shared" si="22"/>
        <v>8.4297277181665944</v>
      </c>
      <c r="V189" s="2">
        <f t="shared" si="17"/>
        <v>9.3454304409849289</v>
      </c>
      <c r="W189" s="2">
        <v>0</v>
      </c>
      <c r="X189" s="2">
        <v>0</v>
      </c>
      <c r="Y189" s="2">
        <v>0</v>
      </c>
      <c r="Z189">
        <f t="shared" si="23"/>
        <v>0.22892568070458352</v>
      </c>
    </row>
    <row r="190" spans="1:26">
      <c r="A190" s="2" t="s">
        <v>12</v>
      </c>
      <c r="B190" s="2" t="s">
        <v>9</v>
      </c>
      <c r="C190" s="15" t="s">
        <v>32</v>
      </c>
      <c r="D190" s="16" t="s">
        <v>238</v>
      </c>
      <c r="E190" s="15"/>
      <c r="F190" s="17">
        <v>1494.4</v>
      </c>
      <c r="G190" s="17">
        <v>119.03749999999999</v>
      </c>
      <c r="H190" s="18">
        <v>0.16800000000000001</v>
      </c>
      <c r="I190" s="19">
        <v>2.93</v>
      </c>
      <c r="J190" s="19">
        <v>2</v>
      </c>
      <c r="K190" s="19">
        <v>0.86</v>
      </c>
      <c r="L190" s="20">
        <v>27</v>
      </c>
      <c r="M190" s="28">
        <v>44.544320999999997</v>
      </c>
      <c r="N190" s="28">
        <v>11.382828</v>
      </c>
      <c r="O190" s="26">
        <f>IF(COUNTA(C190:N190),IF(LEFT(E$4,1)="C",ZenithAngle(M190,N190,D190,$I$4),L190),"---")</f>
        <v>27</v>
      </c>
      <c r="P190" s="26">
        <f t="shared" si="16"/>
        <v>0.86</v>
      </c>
      <c r="Q190" s="26">
        <f t="shared" si="18"/>
        <v>0.75144198109754745</v>
      </c>
      <c r="R190" s="26">
        <f t="shared" si="19"/>
        <v>7.9655714668094207E-2</v>
      </c>
      <c r="S190" s="27">
        <f t="shared" si="20"/>
        <v>3.5168258930745435</v>
      </c>
      <c r="T190" s="2">
        <f t="shared" si="21"/>
        <v>0.92034428533190582</v>
      </c>
      <c r="U190" s="2">
        <f t="shared" si="22"/>
        <v>7.9655714668094211</v>
      </c>
      <c r="V190" s="2">
        <f t="shared" si="17"/>
        <v>8.8859157521413277</v>
      </c>
      <c r="W190" s="2">
        <v>0</v>
      </c>
      <c r="X190" s="2">
        <v>0</v>
      </c>
      <c r="Y190" s="2">
        <v>0</v>
      </c>
      <c r="Z190">
        <f t="shared" si="23"/>
        <v>0.23008607133297646</v>
      </c>
    </row>
    <row r="191" spans="1:26">
      <c r="A191" s="2" t="s">
        <v>12</v>
      </c>
      <c r="B191" s="2" t="s">
        <v>9</v>
      </c>
      <c r="C191" s="15" t="s">
        <v>32</v>
      </c>
      <c r="D191" s="16" t="s">
        <v>239</v>
      </c>
      <c r="E191" s="15"/>
      <c r="F191" s="17">
        <v>1585</v>
      </c>
      <c r="G191" s="17">
        <v>453.16249999999997</v>
      </c>
      <c r="H191" s="18">
        <v>0.16800000000000001</v>
      </c>
      <c r="I191" s="19">
        <v>2.93</v>
      </c>
      <c r="J191" s="19">
        <v>2</v>
      </c>
      <c r="K191" s="19">
        <v>0.86</v>
      </c>
      <c r="L191" s="20">
        <v>27</v>
      </c>
      <c r="M191" s="28">
        <v>44.544320999999997</v>
      </c>
      <c r="N191" s="28">
        <v>11.382828</v>
      </c>
      <c r="O191" s="26">
        <f>IF(COUNTA(C191:N191),IF(LEFT(E$4,1)="C",ZenithAngle(M191,N191,D191,$I$4),L191),"---")</f>
        <v>27</v>
      </c>
      <c r="P191" s="26">
        <f t="shared" si="16"/>
        <v>0.86</v>
      </c>
      <c r="Q191" s="26">
        <f t="shared" si="18"/>
        <v>0.75144198109754745</v>
      </c>
      <c r="R191" s="26">
        <f t="shared" si="19"/>
        <v>0.28590694006309147</v>
      </c>
      <c r="S191" s="27">
        <f t="shared" si="20"/>
        <v>1.7404373354647675</v>
      </c>
      <c r="T191" s="2">
        <f t="shared" si="21"/>
        <v>0.71409305993690853</v>
      </c>
      <c r="U191" s="2">
        <f t="shared" si="22"/>
        <v>28.590694006309146</v>
      </c>
      <c r="V191" s="2">
        <f t="shared" si="17"/>
        <v>29.304787066246053</v>
      </c>
      <c r="W191" s="2">
        <v>0</v>
      </c>
      <c r="X191" s="2">
        <v>0</v>
      </c>
      <c r="Y191" s="2">
        <v>0</v>
      </c>
      <c r="Z191">
        <f t="shared" si="23"/>
        <v>0.17852326498422713</v>
      </c>
    </row>
    <row r="192" spans="1:26">
      <c r="A192" s="2" t="s">
        <v>12</v>
      </c>
      <c r="B192" s="2" t="s">
        <v>9</v>
      </c>
      <c r="C192" s="15" t="s">
        <v>32</v>
      </c>
      <c r="D192" s="16" t="s">
        <v>240</v>
      </c>
      <c r="E192" s="15"/>
      <c r="F192" s="17">
        <v>1685.8</v>
      </c>
      <c r="G192" s="17">
        <v>141.4</v>
      </c>
      <c r="H192" s="18">
        <v>0.16800000000000001</v>
      </c>
      <c r="I192" s="19">
        <v>2.93</v>
      </c>
      <c r="J192" s="19">
        <v>2</v>
      </c>
      <c r="K192" s="19">
        <v>0.86</v>
      </c>
      <c r="L192" s="20">
        <v>27</v>
      </c>
      <c r="M192" s="28">
        <v>44.544320999999997</v>
      </c>
      <c r="N192" s="28">
        <v>11.382828</v>
      </c>
      <c r="O192" s="26">
        <f>IF(COUNTA(C192:N192),IF(LEFT(E$4,1)="C",ZenithAngle(M192,N192,D192,$I$4),L192),"---")</f>
        <v>27</v>
      </c>
      <c r="P192" s="26">
        <f t="shared" si="16"/>
        <v>0.86</v>
      </c>
      <c r="Q192" s="26">
        <f t="shared" si="18"/>
        <v>0.75144198109754745</v>
      </c>
      <c r="R192" s="26">
        <f t="shared" si="19"/>
        <v>8.3877090995373119E-2</v>
      </c>
      <c r="S192" s="27">
        <f t="shared" si="20"/>
        <v>3.4450466469172452</v>
      </c>
      <c r="T192" s="2">
        <f t="shared" si="21"/>
        <v>0.9161229090046269</v>
      </c>
      <c r="U192" s="2">
        <f t="shared" si="22"/>
        <v>8.3877090995373127</v>
      </c>
      <c r="V192" s="2">
        <f t="shared" si="17"/>
        <v>9.3038320085419404</v>
      </c>
      <c r="W192" s="2">
        <v>0</v>
      </c>
      <c r="X192" s="2">
        <v>0</v>
      </c>
      <c r="Y192" s="2">
        <v>0</v>
      </c>
      <c r="Z192">
        <f t="shared" si="23"/>
        <v>0.22903072725115672</v>
      </c>
    </row>
    <row r="193" spans="1:26">
      <c r="A193" s="2" t="s">
        <v>12</v>
      </c>
      <c r="B193" s="2" t="s">
        <v>9</v>
      </c>
      <c r="C193" s="15" t="s">
        <v>32</v>
      </c>
      <c r="D193" s="16" t="s">
        <v>241</v>
      </c>
      <c r="E193" s="15"/>
      <c r="F193" s="17">
        <v>1654.6</v>
      </c>
      <c r="G193" s="17">
        <v>169.52500000000001</v>
      </c>
      <c r="H193" s="18">
        <v>0.16800000000000001</v>
      </c>
      <c r="I193" s="19">
        <v>2.93</v>
      </c>
      <c r="J193" s="19">
        <v>2</v>
      </c>
      <c r="K193" s="19">
        <v>0.86</v>
      </c>
      <c r="L193" s="20">
        <v>27</v>
      </c>
      <c r="M193" s="28">
        <v>44.544320999999997</v>
      </c>
      <c r="N193" s="28">
        <v>11.382828</v>
      </c>
      <c r="O193" s="26">
        <f>IF(COUNTA(C193:N193),IF(LEFT(E$4,1)="C",ZenithAngle(M193,N193,D193,$I$4),L193),"---")</f>
        <v>27</v>
      </c>
      <c r="P193" s="26">
        <f t="shared" si="16"/>
        <v>0.86</v>
      </c>
      <c r="Q193" s="26">
        <f t="shared" si="18"/>
        <v>0.75144198109754745</v>
      </c>
      <c r="R193" s="26">
        <f t="shared" si="19"/>
        <v>0.10245678713888554</v>
      </c>
      <c r="S193" s="27">
        <f t="shared" si="20"/>
        <v>3.1669181041282051</v>
      </c>
      <c r="T193" s="2">
        <f t="shared" si="21"/>
        <v>0.89754321286111449</v>
      </c>
      <c r="U193" s="2">
        <f t="shared" si="22"/>
        <v>10.245678713888553</v>
      </c>
      <c r="V193" s="2">
        <f t="shared" si="17"/>
        <v>11.143221926749668</v>
      </c>
      <c r="W193" s="2">
        <v>0</v>
      </c>
      <c r="X193" s="2">
        <v>0</v>
      </c>
      <c r="Y193" s="2">
        <v>0</v>
      </c>
      <c r="Z193">
        <f t="shared" si="23"/>
        <v>0.22438580321527862</v>
      </c>
    </row>
    <row r="194" spans="1:26">
      <c r="A194" s="2" t="s">
        <v>12</v>
      </c>
      <c r="B194" s="2" t="s">
        <v>9</v>
      </c>
      <c r="C194" s="15" t="s">
        <v>32</v>
      </c>
      <c r="D194" s="16" t="s">
        <v>242</v>
      </c>
      <c r="E194" s="15"/>
      <c r="F194" s="17">
        <v>1659.6</v>
      </c>
      <c r="G194" s="17">
        <v>302.11250000000001</v>
      </c>
      <c r="H194" s="18">
        <v>0.16800000000000001</v>
      </c>
      <c r="I194" s="19">
        <v>2.93</v>
      </c>
      <c r="J194" s="19">
        <v>2</v>
      </c>
      <c r="K194" s="19">
        <v>0.86</v>
      </c>
      <c r="L194" s="20">
        <v>27</v>
      </c>
      <c r="M194" s="28">
        <v>44.544320999999997</v>
      </c>
      <c r="N194" s="28">
        <v>11.382828</v>
      </c>
      <c r="O194" s="26">
        <f>IF(COUNTA(C194:N194),IF(LEFT(E$4,1)="C",ZenithAngle(M194,N194,D194,$I$4),L194),"---")</f>
        <v>27</v>
      </c>
      <c r="P194" s="26">
        <f t="shared" si="16"/>
        <v>0.86</v>
      </c>
      <c r="Q194" s="26">
        <f t="shared" si="18"/>
        <v>0.75144198109754745</v>
      </c>
      <c r="R194" s="26">
        <f t="shared" si="19"/>
        <v>0.18203934683056161</v>
      </c>
      <c r="S194" s="27">
        <f t="shared" si="20"/>
        <v>2.3679559971203981</v>
      </c>
      <c r="T194" s="2">
        <f t="shared" si="21"/>
        <v>0.81796065316943833</v>
      </c>
      <c r="U194" s="2">
        <f t="shared" si="22"/>
        <v>18.203934683056161</v>
      </c>
      <c r="V194" s="2">
        <f t="shared" si="17"/>
        <v>19.021895336225601</v>
      </c>
      <c r="W194" s="2">
        <v>0</v>
      </c>
      <c r="X194" s="2">
        <v>0</v>
      </c>
      <c r="Y194" s="2">
        <v>0</v>
      </c>
      <c r="Z194">
        <f t="shared" si="23"/>
        <v>0.20449016329235958</v>
      </c>
    </row>
    <row r="195" spans="1:26">
      <c r="A195" s="2" t="s">
        <v>12</v>
      </c>
      <c r="B195" s="2" t="s">
        <v>9</v>
      </c>
      <c r="C195" s="15" t="s">
        <v>32</v>
      </c>
      <c r="D195" s="16" t="s">
        <v>243</v>
      </c>
      <c r="E195" s="15"/>
      <c r="F195" s="17">
        <v>1627.8</v>
      </c>
      <c r="G195" s="17">
        <v>463.1</v>
      </c>
      <c r="H195" s="18">
        <v>0.16800000000000001</v>
      </c>
      <c r="I195" s="19">
        <v>2.93</v>
      </c>
      <c r="J195" s="19">
        <v>2</v>
      </c>
      <c r="K195" s="19">
        <v>0.86</v>
      </c>
      <c r="L195" s="20">
        <v>27</v>
      </c>
      <c r="M195" s="28">
        <v>44.544320999999997</v>
      </c>
      <c r="N195" s="28">
        <v>11.382828</v>
      </c>
      <c r="O195" s="26">
        <f>IF(COUNTA(C195:N195),IF(LEFT(E$4,1)="C",ZenithAngle(M195,N195,D195,$I$4),L195),"---")</f>
        <v>27</v>
      </c>
      <c r="P195" s="26">
        <f t="shared" si="16"/>
        <v>0.86</v>
      </c>
      <c r="Q195" s="26">
        <f t="shared" si="18"/>
        <v>0.75144198109754745</v>
      </c>
      <c r="R195" s="26">
        <f t="shared" si="19"/>
        <v>0.28449440963263301</v>
      </c>
      <c r="S195" s="27">
        <f t="shared" si="20"/>
        <v>1.747321819154646</v>
      </c>
      <c r="T195" s="2">
        <f t="shared" si="21"/>
        <v>0.71550559036736705</v>
      </c>
      <c r="U195" s="2">
        <f t="shared" si="22"/>
        <v>28.449440963263299</v>
      </c>
      <c r="V195" s="2">
        <f t="shared" si="17"/>
        <v>29.164946553630667</v>
      </c>
      <c r="W195" s="2">
        <v>0</v>
      </c>
      <c r="X195" s="2">
        <v>0</v>
      </c>
      <c r="Y195" s="2">
        <v>0</v>
      </c>
      <c r="Z195">
        <f t="shared" si="23"/>
        <v>0.17887639759184176</v>
      </c>
    </row>
    <row r="196" spans="1:26">
      <c r="A196" s="2" t="s">
        <v>12</v>
      </c>
      <c r="B196" s="2" t="s">
        <v>9</v>
      </c>
      <c r="C196" s="15" t="s">
        <v>32</v>
      </c>
      <c r="D196" s="16" t="s">
        <v>244</v>
      </c>
      <c r="E196" s="15"/>
      <c r="F196" s="17">
        <v>1733.8</v>
      </c>
      <c r="G196" s="17">
        <v>196.22499999999997</v>
      </c>
      <c r="H196" s="18">
        <v>0.16800000000000001</v>
      </c>
      <c r="I196" s="19">
        <v>2.93</v>
      </c>
      <c r="J196" s="19">
        <v>2</v>
      </c>
      <c r="K196" s="19">
        <v>0.86</v>
      </c>
      <c r="L196" s="20">
        <v>27</v>
      </c>
      <c r="M196" s="28">
        <v>44.544320999999997</v>
      </c>
      <c r="N196" s="28">
        <v>11.382828</v>
      </c>
      <c r="O196" s="26">
        <f>IF(COUNTA(C196:N196),IF(LEFT(E$4,1)="C",ZenithAngle(M196,N196,D196,$I$4),L196),"---")</f>
        <v>27</v>
      </c>
      <c r="P196" s="26">
        <f t="shared" ref="P196:P254" si="24">IF(O196="---","---",IF(LEFT(E$5,1)="C",beamfraction(O196,F196),K196))</f>
        <v>0.86</v>
      </c>
      <c r="Q196" s="26">
        <f t="shared" si="18"/>
        <v>0.75144198109754745</v>
      </c>
      <c r="R196" s="26">
        <f t="shared" si="19"/>
        <v>0.11317626023762832</v>
      </c>
      <c r="S196" s="27">
        <f t="shared" si="20"/>
        <v>3.0286030436331379</v>
      </c>
      <c r="T196" s="2">
        <f t="shared" si="21"/>
        <v>0.88682373976237172</v>
      </c>
      <c r="U196" s="2">
        <f t="shared" si="22"/>
        <v>11.317626023762832</v>
      </c>
      <c r="V196" s="2">
        <f t="shared" ref="V196:V256" si="25">T196+U196</f>
        <v>12.204449763525204</v>
      </c>
      <c r="W196" s="2">
        <v>0</v>
      </c>
      <c r="X196" s="2">
        <v>0</v>
      </c>
      <c r="Y196" s="2">
        <v>0</v>
      </c>
      <c r="Z196">
        <f t="shared" si="23"/>
        <v>0.22170593494059293</v>
      </c>
    </row>
    <row r="197" spans="1:26">
      <c r="A197" s="2" t="s">
        <v>12</v>
      </c>
      <c r="B197" s="2" t="s">
        <v>10</v>
      </c>
      <c r="C197" s="15" t="s">
        <v>32</v>
      </c>
      <c r="D197" s="16" t="s">
        <v>245</v>
      </c>
      <c r="E197" s="15"/>
      <c r="F197" s="17">
        <v>1694</v>
      </c>
      <c r="G197" s="17">
        <v>175.72499999999999</v>
      </c>
      <c r="H197" s="18">
        <v>0.26900000000000002</v>
      </c>
      <c r="I197" s="19">
        <v>2.38</v>
      </c>
      <c r="J197" s="19">
        <v>2</v>
      </c>
      <c r="K197" s="19">
        <v>0.86</v>
      </c>
      <c r="L197" s="20">
        <v>27</v>
      </c>
      <c r="M197" s="28">
        <v>44.544320999999997</v>
      </c>
      <c r="N197" s="28">
        <v>11.382828</v>
      </c>
      <c r="O197" s="26">
        <f>IF(COUNTA(C197:N197),IF(LEFT(E$4,1)="C",ZenithAngle(M197,N197,D197,$I$4),L197),"---")</f>
        <v>27</v>
      </c>
      <c r="P197" s="26">
        <f t="shared" si="24"/>
        <v>0.86</v>
      </c>
      <c r="Q197" s="26">
        <f t="shared" ref="Q197:Q256" si="26">IF(O197="---","---",SQRT(J197^2+(TAN(RADIANS(O197)))^2)/(J197+1.744*(J197+1.182)^(-0.733)))</f>
        <v>0.75144198109754745</v>
      </c>
      <c r="R197" s="26">
        <f t="shared" ref="R197:R256" si="27">IF(O197="---","---",G197/F197)</f>
        <v>0.10373376623376623</v>
      </c>
      <c r="S197" s="27">
        <f t="shared" ref="S197:S256" si="28">IF(O197="---","---",((1-1/(2*Q197))*P197-1)*LN(R197)/(0.86*(1-0.47*P197)))</f>
        <v>3.1497004572915204</v>
      </c>
      <c r="T197" s="2">
        <f t="shared" ref="T197:T256" si="29">(1-(G197/F197))</f>
        <v>0.89626623376623371</v>
      </c>
      <c r="U197" s="2">
        <f t="shared" ref="U197:U256" si="30">G197/F197*100</f>
        <v>10.373376623376624</v>
      </c>
      <c r="V197" s="2">
        <f t="shared" si="25"/>
        <v>11.269642857142857</v>
      </c>
      <c r="W197" s="2">
        <v>0</v>
      </c>
      <c r="X197" s="2">
        <v>0</v>
      </c>
      <c r="Y197" s="2">
        <v>0</v>
      </c>
      <c r="Z197">
        <f t="shared" ref="Z197:Z256" si="31">AVERAGE(T197,W197:Y197)</f>
        <v>0.22406655844155843</v>
      </c>
    </row>
    <row r="198" spans="1:26">
      <c r="A198" s="2" t="s">
        <v>12</v>
      </c>
      <c r="B198" s="2" t="s">
        <v>10</v>
      </c>
      <c r="C198" s="15" t="s">
        <v>32</v>
      </c>
      <c r="D198" s="16" t="s">
        <v>246</v>
      </c>
      <c r="E198" s="15"/>
      <c r="F198" s="17">
        <v>1703.4</v>
      </c>
      <c r="G198" s="17">
        <v>321.09999999999997</v>
      </c>
      <c r="H198" s="18">
        <v>0.26900000000000002</v>
      </c>
      <c r="I198" s="19">
        <v>2.38</v>
      </c>
      <c r="J198" s="19">
        <v>2</v>
      </c>
      <c r="K198" s="19">
        <v>0.86</v>
      </c>
      <c r="L198" s="20">
        <v>27</v>
      </c>
      <c r="M198" s="28">
        <v>44.544320999999997</v>
      </c>
      <c r="N198" s="28">
        <v>11.382828</v>
      </c>
      <c r="O198" s="26">
        <f>IF(COUNTA(C198:N198),IF(LEFT(E$4,1)="C",ZenithAngle(M198,N198,D198,$I$4),L198),"---")</f>
        <v>27</v>
      </c>
      <c r="P198" s="26">
        <f t="shared" si="24"/>
        <v>0.86</v>
      </c>
      <c r="Q198" s="26">
        <f t="shared" si="26"/>
        <v>0.75144198109754745</v>
      </c>
      <c r="R198" s="26">
        <f t="shared" si="27"/>
        <v>0.18850534225666313</v>
      </c>
      <c r="S198" s="27">
        <f t="shared" si="28"/>
        <v>2.3194392018349466</v>
      </c>
      <c r="T198" s="2">
        <f t="shared" si="29"/>
        <v>0.81149465774333684</v>
      </c>
      <c r="U198" s="2">
        <f t="shared" si="30"/>
        <v>18.850534225666312</v>
      </c>
      <c r="V198" s="2">
        <f t="shared" si="25"/>
        <v>19.662028883409647</v>
      </c>
      <c r="W198" s="2">
        <v>0</v>
      </c>
      <c r="X198" s="2">
        <v>0</v>
      </c>
      <c r="Y198" s="2">
        <v>0</v>
      </c>
      <c r="Z198">
        <f t="shared" si="31"/>
        <v>0.20287366443583421</v>
      </c>
    </row>
    <row r="199" spans="1:26">
      <c r="A199" s="2" t="s">
        <v>12</v>
      </c>
      <c r="B199" s="2" t="s">
        <v>10</v>
      </c>
      <c r="C199" s="15" t="s">
        <v>32</v>
      </c>
      <c r="D199" s="16" t="s">
        <v>247</v>
      </c>
      <c r="E199" s="15"/>
      <c r="F199" s="17">
        <v>1697.8</v>
      </c>
      <c r="G199" s="17">
        <v>246.76249999999996</v>
      </c>
      <c r="H199" s="18">
        <v>0.26900000000000002</v>
      </c>
      <c r="I199" s="19">
        <v>2.38</v>
      </c>
      <c r="J199" s="19">
        <v>2</v>
      </c>
      <c r="K199" s="19">
        <v>0.86</v>
      </c>
      <c r="L199" s="20">
        <v>27</v>
      </c>
      <c r="M199" s="28">
        <v>44.544320999999997</v>
      </c>
      <c r="N199" s="28">
        <v>11.382828</v>
      </c>
      <c r="O199" s="26">
        <f>IF(COUNTA(C199:N199),IF(LEFT(E$4,1)="C",ZenithAngle(M199,N199,D199,$I$4),L199),"---")</f>
        <v>27</v>
      </c>
      <c r="P199" s="26">
        <f t="shared" si="24"/>
        <v>0.86</v>
      </c>
      <c r="Q199" s="26">
        <f t="shared" si="26"/>
        <v>0.75144198109754745</v>
      </c>
      <c r="R199" s="26">
        <f t="shared" si="27"/>
        <v>0.14534250206149132</v>
      </c>
      <c r="S199" s="27">
        <f t="shared" si="28"/>
        <v>2.6808925093053846</v>
      </c>
      <c r="T199" s="2">
        <f t="shared" si="29"/>
        <v>0.85465749793850865</v>
      </c>
      <c r="U199" s="2">
        <f t="shared" si="30"/>
        <v>14.534250206149132</v>
      </c>
      <c r="V199" s="2">
        <f t="shared" si="25"/>
        <v>15.388907704087639</v>
      </c>
      <c r="W199" s="2">
        <v>0</v>
      </c>
      <c r="X199" s="2">
        <v>0</v>
      </c>
      <c r="Y199" s="2">
        <v>0</v>
      </c>
      <c r="Z199">
        <f t="shared" si="31"/>
        <v>0.21366437448462716</v>
      </c>
    </row>
    <row r="200" spans="1:26">
      <c r="A200" s="2" t="s">
        <v>12</v>
      </c>
      <c r="B200" s="2" t="s">
        <v>10</v>
      </c>
      <c r="C200" s="15" t="s">
        <v>32</v>
      </c>
      <c r="D200" s="16" t="s">
        <v>248</v>
      </c>
      <c r="E200" s="15"/>
      <c r="F200" s="17">
        <v>1716.5</v>
      </c>
      <c r="G200" s="17">
        <v>693.6875</v>
      </c>
      <c r="H200" s="18">
        <v>0.26900000000000002</v>
      </c>
      <c r="I200" s="19">
        <v>2.38</v>
      </c>
      <c r="J200" s="19">
        <v>2</v>
      </c>
      <c r="K200" s="19">
        <v>0.86</v>
      </c>
      <c r="L200" s="20">
        <v>27</v>
      </c>
      <c r="M200" s="28">
        <v>44.544320999999997</v>
      </c>
      <c r="N200" s="28">
        <v>11.382828</v>
      </c>
      <c r="O200" s="26">
        <f>IF(COUNTA(C200:N200),IF(LEFT(E$4,1)="C",ZenithAngle(M200,N200,D200,$I$4),L200),"---")</f>
        <v>27</v>
      </c>
      <c r="P200" s="26">
        <f t="shared" si="24"/>
        <v>0.86</v>
      </c>
      <c r="Q200" s="26">
        <f t="shared" si="26"/>
        <v>0.75144198109754745</v>
      </c>
      <c r="R200" s="26">
        <f t="shared" si="27"/>
        <v>0.40412904165452956</v>
      </c>
      <c r="S200" s="27">
        <f t="shared" si="28"/>
        <v>1.2593936750449954</v>
      </c>
      <c r="T200" s="2">
        <f t="shared" si="29"/>
        <v>0.59587095834547044</v>
      </c>
      <c r="U200" s="2">
        <f t="shared" si="30"/>
        <v>40.412904165452957</v>
      </c>
      <c r="V200" s="2">
        <f t="shared" si="25"/>
        <v>41.008775123798429</v>
      </c>
      <c r="W200" s="2">
        <v>0</v>
      </c>
      <c r="X200" s="2">
        <v>0</v>
      </c>
      <c r="Y200" s="2">
        <v>0</v>
      </c>
      <c r="Z200">
        <f t="shared" si="31"/>
        <v>0.14896773958636761</v>
      </c>
    </row>
    <row r="201" spans="1:26">
      <c r="A201" s="2" t="s">
        <v>12</v>
      </c>
      <c r="B201" s="2" t="s">
        <v>10</v>
      </c>
      <c r="C201" s="15" t="s">
        <v>32</v>
      </c>
      <c r="D201" s="16" t="s">
        <v>249</v>
      </c>
      <c r="E201" s="15"/>
      <c r="F201" s="17">
        <v>1650.1</v>
      </c>
      <c r="G201" s="17">
        <v>786.21249999999998</v>
      </c>
      <c r="H201" s="18">
        <v>0.26900000000000002</v>
      </c>
      <c r="I201" s="19">
        <v>2.38</v>
      </c>
      <c r="J201" s="19">
        <v>2</v>
      </c>
      <c r="K201" s="19">
        <v>0.86</v>
      </c>
      <c r="L201" s="20">
        <v>27</v>
      </c>
      <c r="M201" s="28">
        <v>44.544320999999997</v>
      </c>
      <c r="N201" s="28">
        <v>11.382828</v>
      </c>
      <c r="O201" s="26">
        <f>IF(COUNTA(C201:N201),IF(LEFT(E$4,1)="C",ZenithAngle(M201,N201,D201,$I$4),L201),"---")</f>
        <v>27</v>
      </c>
      <c r="P201" s="26">
        <f t="shared" si="24"/>
        <v>0.86</v>
      </c>
      <c r="Q201" s="26">
        <f t="shared" si="26"/>
        <v>0.75144198109754745</v>
      </c>
      <c r="R201" s="26">
        <f t="shared" si="27"/>
        <v>0.47646354766377796</v>
      </c>
      <c r="S201" s="27">
        <f t="shared" si="28"/>
        <v>1.0305160294710107</v>
      </c>
      <c r="T201" s="2">
        <f t="shared" si="29"/>
        <v>0.52353645233622204</v>
      </c>
      <c r="U201" s="2">
        <f t="shared" si="30"/>
        <v>47.646354766377797</v>
      </c>
      <c r="V201" s="2">
        <f t="shared" si="25"/>
        <v>48.169891218714021</v>
      </c>
      <c r="W201" s="2">
        <v>0</v>
      </c>
      <c r="X201" s="2">
        <v>0</v>
      </c>
      <c r="Y201" s="2">
        <v>0</v>
      </c>
      <c r="Z201">
        <f t="shared" si="31"/>
        <v>0.13088411308405551</v>
      </c>
    </row>
    <row r="202" spans="1:26">
      <c r="A202" s="2" t="s">
        <v>12</v>
      </c>
      <c r="B202" s="2" t="s">
        <v>10</v>
      </c>
      <c r="C202" s="15" t="s">
        <v>32</v>
      </c>
      <c r="D202" s="16" t="s">
        <v>250</v>
      </c>
      <c r="E202" s="15"/>
      <c r="F202" s="17">
        <v>1698.5</v>
      </c>
      <c r="G202" s="17">
        <v>453.82499999999999</v>
      </c>
      <c r="H202" s="18">
        <v>0.26900000000000002</v>
      </c>
      <c r="I202" s="19">
        <v>2.38</v>
      </c>
      <c r="J202" s="19">
        <v>2</v>
      </c>
      <c r="K202" s="19">
        <v>0.86</v>
      </c>
      <c r="L202" s="20">
        <v>27</v>
      </c>
      <c r="M202" s="28">
        <v>44.544320999999997</v>
      </c>
      <c r="N202" s="28">
        <v>11.382828</v>
      </c>
      <c r="O202" s="26">
        <f>IF(COUNTA(C202:N202),IF(LEFT(E$4,1)="C",ZenithAngle(M202,N202,D202,$I$4),L202),"---")</f>
        <v>27</v>
      </c>
      <c r="P202" s="26">
        <f t="shared" si="24"/>
        <v>0.86</v>
      </c>
      <c r="Q202" s="26">
        <f t="shared" si="26"/>
        <v>0.75144198109754745</v>
      </c>
      <c r="R202" s="26">
        <f t="shared" si="27"/>
        <v>0.26719163968207243</v>
      </c>
      <c r="S202" s="27">
        <f t="shared" si="28"/>
        <v>1.8345424677655979</v>
      </c>
      <c r="T202" s="2">
        <f t="shared" si="29"/>
        <v>0.73280836031792762</v>
      </c>
      <c r="U202" s="2">
        <f t="shared" si="30"/>
        <v>26.719163968207244</v>
      </c>
      <c r="V202" s="2">
        <f t="shared" si="25"/>
        <v>27.451972328525173</v>
      </c>
      <c r="W202" s="2">
        <v>0</v>
      </c>
      <c r="X202" s="2">
        <v>0</v>
      </c>
      <c r="Y202" s="2">
        <v>0</v>
      </c>
      <c r="Z202">
        <f t="shared" si="31"/>
        <v>0.18320209007948191</v>
      </c>
    </row>
    <row r="203" spans="1:26">
      <c r="A203" s="2" t="s">
        <v>12</v>
      </c>
      <c r="B203" s="2" t="s">
        <v>10</v>
      </c>
      <c r="C203" s="15" t="s">
        <v>32</v>
      </c>
      <c r="D203" s="16" t="s">
        <v>251</v>
      </c>
      <c r="E203" s="15"/>
      <c r="F203" s="17">
        <v>1740.7</v>
      </c>
      <c r="G203" s="17">
        <v>614.79999999999995</v>
      </c>
      <c r="H203" s="18">
        <v>0.26900000000000002</v>
      </c>
      <c r="I203" s="19">
        <v>2.38</v>
      </c>
      <c r="J203" s="19">
        <v>2</v>
      </c>
      <c r="K203" s="19">
        <v>0.86</v>
      </c>
      <c r="L203" s="20">
        <v>27</v>
      </c>
      <c r="M203" s="28">
        <v>44.544320999999997</v>
      </c>
      <c r="N203" s="28">
        <v>11.382828</v>
      </c>
      <c r="O203" s="26">
        <f>IF(COUNTA(C203:N203),IF(LEFT(E$4,1)="C",ZenithAngle(M203,N203,D203,$I$4),L203),"---")</f>
        <v>27</v>
      </c>
      <c r="P203" s="26">
        <f t="shared" si="24"/>
        <v>0.86</v>
      </c>
      <c r="Q203" s="26">
        <f t="shared" si="26"/>
        <v>0.75144198109754745</v>
      </c>
      <c r="R203" s="26">
        <f t="shared" si="27"/>
        <v>0.35319124490147641</v>
      </c>
      <c r="S203" s="27">
        <f t="shared" si="28"/>
        <v>1.4466644408192997</v>
      </c>
      <c r="T203" s="2">
        <f t="shared" si="29"/>
        <v>0.64680875509852354</v>
      </c>
      <c r="U203" s="2">
        <f t="shared" si="30"/>
        <v>35.319124490147644</v>
      </c>
      <c r="V203" s="2">
        <f t="shared" si="25"/>
        <v>35.96593324524617</v>
      </c>
      <c r="W203" s="2">
        <v>0</v>
      </c>
      <c r="X203" s="2">
        <v>0</v>
      </c>
      <c r="Y203" s="2">
        <v>0</v>
      </c>
      <c r="Z203">
        <f t="shared" si="31"/>
        <v>0.16170218877463088</v>
      </c>
    </row>
    <row r="204" spans="1:26">
      <c r="A204" s="2" t="s">
        <v>12</v>
      </c>
      <c r="B204" s="2" t="s">
        <v>10</v>
      </c>
      <c r="C204" s="15" t="s">
        <v>32</v>
      </c>
      <c r="D204" s="16" t="s">
        <v>252</v>
      </c>
      <c r="E204" s="15"/>
      <c r="F204" s="17">
        <v>1711.8</v>
      </c>
      <c r="G204" s="17">
        <v>302.17500000000001</v>
      </c>
      <c r="H204" s="18">
        <v>0.26900000000000002</v>
      </c>
      <c r="I204" s="19">
        <v>2.38</v>
      </c>
      <c r="J204" s="19">
        <v>2</v>
      </c>
      <c r="K204" s="19">
        <v>0.86</v>
      </c>
      <c r="L204" s="20">
        <v>27</v>
      </c>
      <c r="M204" s="28">
        <v>44.544320999999997</v>
      </c>
      <c r="N204" s="28">
        <v>11.382828</v>
      </c>
      <c r="O204" s="26">
        <f>IF(COUNTA(C204:N204),IF(LEFT(E$4,1)="C",ZenithAngle(M204,N204,D204,$I$4),L204),"---")</f>
        <v>27</v>
      </c>
      <c r="P204" s="26">
        <f t="shared" si="24"/>
        <v>0.86</v>
      </c>
      <c r="Q204" s="26">
        <f t="shared" si="26"/>
        <v>0.75144198109754745</v>
      </c>
      <c r="R204" s="26">
        <f t="shared" si="27"/>
        <v>0.17652471083070453</v>
      </c>
      <c r="S204" s="27">
        <f t="shared" si="28"/>
        <v>2.4107159839678753</v>
      </c>
      <c r="T204" s="2">
        <f t="shared" si="29"/>
        <v>0.82347528916929547</v>
      </c>
      <c r="U204" s="2">
        <f t="shared" si="30"/>
        <v>17.652471083070452</v>
      </c>
      <c r="V204" s="2">
        <f t="shared" si="25"/>
        <v>18.475946372239747</v>
      </c>
      <c r="W204" s="2">
        <v>0</v>
      </c>
      <c r="X204" s="2">
        <v>0</v>
      </c>
      <c r="Y204" s="2">
        <v>0</v>
      </c>
      <c r="Z204">
        <f t="shared" si="31"/>
        <v>0.20586882229232387</v>
      </c>
    </row>
    <row r="205" spans="1:26">
      <c r="A205" s="2" t="s">
        <v>12</v>
      </c>
      <c r="B205" s="2" t="s">
        <v>10</v>
      </c>
      <c r="C205" s="15" t="s">
        <v>32</v>
      </c>
      <c r="D205" s="16" t="s">
        <v>253</v>
      </c>
      <c r="E205" s="15"/>
      <c r="F205" s="17">
        <v>1764</v>
      </c>
      <c r="G205" s="17">
        <v>471.63749999999999</v>
      </c>
      <c r="H205" s="18">
        <v>0.26900000000000002</v>
      </c>
      <c r="I205" s="19">
        <v>2.38</v>
      </c>
      <c r="J205" s="19">
        <v>2</v>
      </c>
      <c r="K205" s="19">
        <v>0.86</v>
      </c>
      <c r="L205" s="20">
        <v>27</v>
      </c>
      <c r="M205" s="28">
        <v>44.544320999999997</v>
      </c>
      <c r="N205" s="28">
        <v>11.382828</v>
      </c>
      <c r="O205" s="26">
        <f>IF(COUNTA(C205:N205),IF(LEFT(E$4,1)="C",ZenithAngle(M205,N205,D205,$I$4),L205),"---")</f>
        <v>27</v>
      </c>
      <c r="P205" s="26">
        <f t="shared" si="24"/>
        <v>0.86</v>
      </c>
      <c r="Q205" s="26">
        <f t="shared" si="26"/>
        <v>0.75144198109754745</v>
      </c>
      <c r="R205" s="26">
        <f t="shared" si="27"/>
        <v>0.26736819727891153</v>
      </c>
      <c r="S205" s="27">
        <f t="shared" si="28"/>
        <v>1.8336242550169997</v>
      </c>
      <c r="T205" s="2">
        <f t="shared" si="29"/>
        <v>0.73263180272108852</v>
      </c>
      <c r="U205" s="2">
        <f t="shared" si="30"/>
        <v>26.736819727891152</v>
      </c>
      <c r="V205" s="2">
        <f t="shared" si="25"/>
        <v>27.46945153061224</v>
      </c>
      <c r="W205" s="2">
        <v>0</v>
      </c>
      <c r="X205" s="2">
        <v>0</v>
      </c>
      <c r="Y205" s="2">
        <v>0</v>
      </c>
      <c r="Z205">
        <f t="shared" si="31"/>
        <v>0.18315795068027213</v>
      </c>
    </row>
    <row r="206" spans="1:26">
      <c r="A206" s="2" t="s">
        <v>12</v>
      </c>
      <c r="B206" s="2" t="s">
        <v>10</v>
      </c>
      <c r="C206" s="15" t="s">
        <v>32</v>
      </c>
      <c r="D206" s="16" t="s">
        <v>254</v>
      </c>
      <c r="E206" s="15"/>
      <c r="F206" s="17">
        <v>1736.6</v>
      </c>
      <c r="G206" s="17">
        <v>544.75</v>
      </c>
      <c r="H206" s="18">
        <v>0.26900000000000002</v>
      </c>
      <c r="I206" s="19">
        <v>2.38</v>
      </c>
      <c r="J206" s="19">
        <v>2</v>
      </c>
      <c r="K206" s="19">
        <v>0.86</v>
      </c>
      <c r="L206" s="20">
        <v>27</v>
      </c>
      <c r="M206" s="28">
        <v>44.544320999999997</v>
      </c>
      <c r="N206" s="28">
        <v>11.382828</v>
      </c>
      <c r="O206" s="26">
        <f>IF(COUNTA(C206:N206),IF(LEFT(E$4,1)="C",ZenithAngle(M206,N206,D206,$I$4),L206),"---")</f>
        <v>27</v>
      </c>
      <c r="P206" s="26">
        <f t="shared" si="24"/>
        <v>0.86</v>
      </c>
      <c r="Q206" s="26">
        <f t="shared" si="26"/>
        <v>0.75144198109754745</v>
      </c>
      <c r="R206" s="26">
        <f t="shared" si="27"/>
        <v>0.31368766555338018</v>
      </c>
      <c r="S206" s="27">
        <f t="shared" si="28"/>
        <v>1.6115381592201214</v>
      </c>
      <c r="T206" s="2">
        <f t="shared" si="29"/>
        <v>0.68631233444661977</v>
      </c>
      <c r="U206" s="2">
        <f t="shared" si="30"/>
        <v>31.368766555338016</v>
      </c>
      <c r="V206" s="2">
        <f t="shared" si="25"/>
        <v>32.055078889784639</v>
      </c>
      <c r="W206" s="2">
        <v>0</v>
      </c>
      <c r="X206" s="2">
        <v>0</v>
      </c>
      <c r="Y206" s="2">
        <v>0</v>
      </c>
      <c r="Z206">
        <f t="shared" si="31"/>
        <v>0.17157808361165494</v>
      </c>
    </row>
    <row r="207" spans="1:26">
      <c r="A207" s="2" t="s">
        <v>13</v>
      </c>
      <c r="B207" s="2" t="s">
        <v>6</v>
      </c>
      <c r="C207" s="15" t="s">
        <v>32</v>
      </c>
      <c r="D207" s="16" t="s">
        <v>255</v>
      </c>
      <c r="E207" s="15"/>
      <c r="F207" s="17">
        <v>1799.4</v>
      </c>
      <c r="G207" s="17">
        <v>481.875</v>
      </c>
      <c r="H207" s="18">
        <v>0.17499999999999999</v>
      </c>
      <c r="I207" s="19">
        <v>3.12</v>
      </c>
      <c r="J207" s="19">
        <v>2</v>
      </c>
      <c r="K207" s="19">
        <v>0.84</v>
      </c>
      <c r="L207" s="20">
        <v>27</v>
      </c>
      <c r="M207" s="28">
        <v>44.544320999999997</v>
      </c>
      <c r="N207" s="28">
        <v>11.382828</v>
      </c>
      <c r="O207" s="26">
        <f>IF(COUNTA(C207:N207),IF(LEFT(E$4,1)="C",ZenithAngle(M207,N207,D207,$I$4),L207),"---")</f>
        <v>27</v>
      </c>
      <c r="P207" s="26">
        <f t="shared" si="24"/>
        <v>0.84</v>
      </c>
      <c r="Q207" s="26">
        <f t="shared" si="26"/>
        <v>0.75144198109754745</v>
      </c>
      <c r="R207" s="26">
        <f t="shared" si="27"/>
        <v>0.26779759919973323</v>
      </c>
      <c r="S207" s="27">
        <f t="shared" si="28"/>
        <v>1.8198890916347228</v>
      </c>
      <c r="T207" s="2">
        <f t="shared" si="29"/>
        <v>0.73220240080026677</v>
      </c>
      <c r="U207" s="2">
        <f t="shared" si="30"/>
        <v>26.779759919973323</v>
      </c>
      <c r="V207" s="2">
        <f t="shared" si="25"/>
        <v>27.511962320773591</v>
      </c>
      <c r="W207" s="2">
        <v>0</v>
      </c>
      <c r="X207" s="2">
        <v>0</v>
      </c>
      <c r="Y207" s="2">
        <v>0</v>
      </c>
      <c r="Z207">
        <f t="shared" si="31"/>
        <v>0.18305060020006669</v>
      </c>
    </row>
    <row r="208" spans="1:26">
      <c r="A208" s="2" t="s">
        <v>13</v>
      </c>
      <c r="B208" s="2" t="s">
        <v>6</v>
      </c>
      <c r="C208" s="15" t="s">
        <v>32</v>
      </c>
      <c r="D208" s="16" t="s">
        <v>256</v>
      </c>
      <c r="E208" s="15"/>
      <c r="F208" s="17">
        <v>1730.6</v>
      </c>
      <c r="G208" s="17">
        <v>254.03749999999999</v>
      </c>
      <c r="H208" s="18">
        <v>0.17499999999999999</v>
      </c>
      <c r="I208" s="19">
        <v>3.12</v>
      </c>
      <c r="J208" s="19">
        <v>2</v>
      </c>
      <c r="K208" s="19">
        <v>0.84</v>
      </c>
      <c r="L208" s="20">
        <v>27</v>
      </c>
      <c r="M208" s="28">
        <v>44.544320999999997</v>
      </c>
      <c r="N208" s="28">
        <v>11.382828</v>
      </c>
      <c r="O208" s="26">
        <f>IF(COUNTA(C208:N208),IF(LEFT(E$4,1)="C",ZenithAngle(M208,N208,D208,$I$4),L208),"---")</f>
        <v>27</v>
      </c>
      <c r="P208" s="26">
        <f t="shared" si="24"/>
        <v>0.84</v>
      </c>
      <c r="Q208" s="26">
        <f t="shared" si="26"/>
        <v>0.75144198109754745</v>
      </c>
      <c r="R208" s="26">
        <f t="shared" si="27"/>
        <v>0.14679157517623945</v>
      </c>
      <c r="S208" s="27">
        <f t="shared" si="28"/>
        <v>2.6503481728300069</v>
      </c>
      <c r="T208" s="2">
        <f t="shared" si="29"/>
        <v>0.85320842482376058</v>
      </c>
      <c r="U208" s="2">
        <f t="shared" si="30"/>
        <v>14.679157517623945</v>
      </c>
      <c r="V208" s="2">
        <f t="shared" si="25"/>
        <v>15.532365942447706</v>
      </c>
      <c r="W208" s="2">
        <v>0</v>
      </c>
      <c r="X208" s="2">
        <v>0</v>
      </c>
      <c r="Y208" s="2">
        <v>0</v>
      </c>
      <c r="Z208">
        <f t="shared" si="31"/>
        <v>0.21330210620594015</v>
      </c>
    </row>
    <row r="209" spans="1:26">
      <c r="A209" s="2" t="s">
        <v>13</v>
      </c>
      <c r="B209" s="2" t="s">
        <v>6</v>
      </c>
      <c r="C209" s="15" t="s">
        <v>32</v>
      </c>
      <c r="D209" s="16" t="s">
        <v>257</v>
      </c>
      <c r="E209" s="15"/>
      <c r="F209" s="17">
        <v>1754.6</v>
      </c>
      <c r="G209" s="17">
        <v>733.03750000000014</v>
      </c>
      <c r="H209" s="18">
        <v>0.17499999999999999</v>
      </c>
      <c r="I209" s="19">
        <v>3.12</v>
      </c>
      <c r="J209" s="19">
        <v>2</v>
      </c>
      <c r="K209" s="19">
        <v>0.84</v>
      </c>
      <c r="L209" s="20">
        <v>27</v>
      </c>
      <c r="M209" s="28">
        <v>44.544320999999997</v>
      </c>
      <c r="N209" s="28">
        <v>11.382828</v>
      </c>
      <c r="O209" s="26">
        <f>IF(COUNTA(C209:N209),IF(LEFT(E$4,1)="C",ZenithAngle(M209,N209,D209,$I$4),L209),"---")</f>
        <v>27</v>
      </c>
      <c r="P209" s="26">
        <f t="shared" si="24"/>
        <v>0.84</v>
      </c>
      <c r="Q209" s="26">
        <f t="shared" si="26"/>
        <v>0.75144198109754745</v>
      </c>
      <c r="R209" s="26">
        <f t="shared" si="27"/>
        <v>0.41778040579049364</v>
      </c>
      <c r="S209" s="27">
        <f t="shared" si="28"/>
        <v>1.2055933760602791</v>
      </c>
      <c r="T209" s="2">
        <f t="shared" si="29"/>
        <v>0.58221959420950631</v>
      </c>
      <c r="U209" s="2">
        <f t="shared" si="30"/>
        <v>41.77804057904936</v>
      </c>
      <c r="V209" s="2">
        <f t="shared" si="25"/>
        <v>42.360260173258865</v>
      </c>
      <c r="W209" s="2">
        <v>0</v>
      </c>
      <c r="X209" s="2">
        <v>0</v>
      </c>
      <c r="Y209" s="2">
        <v>0</v>
      </c>
      <c r="Z209">
        <f t="shared" si="31"/>
        <v>0.14555489855237658</v>
      </c>
    </row>
    <row r="210" spans="1:26">
      <c r="A210" s="2" t="s">
        <v>13</v>
      </c>
      <c r="B210" s="2" t="s">
        <v>6</v>
      </c>
      <c r="C210" s="15" t="s">
        <v>32</v>
      </c>
      <c r="D210" s="16" t="s">
        <v>258</v>
      </c>
      <c r="E210" s="15"/>
      <c r="F210" s="17">
        <v>1801.5</v>
      </c>
      <c r="G210" s="17">
        <v>278.67500000000001</v>
      </c>
      <c r="H210" s="18">
        <v>0.17499999999999999</v>
      </c>
      <c r="I210" s="19">
        <v>3.12</v>
      </c>
      <c r="J210" s="19">
        <v>2</v>
      </c>
      <c r="K210" s="19">
        <v>0.84</v>
      </c>
      <c r="L210" s="20">
        <v>27</v>
      </c>
      <c r="M210" s="28">
        <v>44.544320999999997</v>
      </c>
      <c r="N210" s="28">
        <v>11.382828</v>
      </c>
      <c r="O210" s="26">
        <f>IF(COUNTA(C210:N210),IF(LEFT(E$4,1)="C",ZenithAngle(M210,N210,D210,$I$4),L210),"---")</f>
        <v>27</v>
      </c>
      <c r="P210" s="26">
        <f t="shared" si="24"/>
        <v>0.84</v>
      </c>
      <c r="Q210" s="26">
        <f t="shared" si="26"/>
        <v>0.75144198109754745</v>
      </c>
      <c r="R210" s="26">
        <f t="shared" si="27"/>
        <v>0.15469053566472385</v>
      </c>
      <c r="S210" s="27">
        <f t="shared" si="28"/>
        <v>2.5779505603772335</v>
      </c>
      <c r="T210" s="2">
        <f t="shared" si="29"/>
        <v>0.8453094643352761</v>
      </c>
      <c r="U210" s="2">
        <f t="shared" si="30"/>
        <v>15.469053566472384</v>
      </c>
      <c r="V210" s="2">
        <f t="shared" si="25"/>
        <v>16.314363030807659</v>
      </c>
      <c r="W210" s="2">
        <v>0</v>
      </c>
      <c r="X210" s="2">
        <v>0</v>
      </c>
      <c r="Y210" s="2">
        <v>0</v>
      </c>
      <c r="Z210">
        <f t="shared" si="31"/>
        <v>0.21132736608381902</v>
      </c>
    </row>
    <row r="211" spans="1:26">
      <c r="A211" s="2" t="s">
        <v>13</v>
      </c>
      <c r="B211" s="2" t="s">
        <v>6</v>
      </c>
      <c r="C211" s="15" t="s">
        <v>32</v>
      </c>
      <c r="D211" s="16" t="s">
        <v>259</v>
      </c>
      <c r="E211" s="15"/>
      <c r="F211" s="17">
        <v>1791.5</v>
      </c>
      <c r="G211" s="17">
        <v>169.2</v>
      </c>
      <c r="H211" s="18">
        <v>0.17499999999999999</v>
      </c>
      <c r="I211" s="19">
        <v>3.12</v>
      </c>
      <c r="J211" s="19">
        <v>2</v>
      </c>
      <c r="K211" s="19">
        <v>0.84</v>
      </c>
      <c r="L211" s="20">
        <v>27</v>
      </c>
      <c r="M211" s="28">
        <v>44.544320999999997</v>
      </c>
      <c r="N211" s="28">
        <v>11.382828</v>
      </c>
      <c r="O211" s="26">
        <f>IF(COUNTA(C211:N211),IF(LEFT(E$4,1)="C",ZenithAngle(M211,N211,D211,$I$4),L211),"---")</f>
        <v>27</v>
      </c>
      <c r="P211" s="26">
        <f t="shared" si="24"/>
        <v>0.84</v>
      </c>
      <c r="Q211" s="26">
        <f t="shared" si="26"/>
        <v>0.75144198109754745</v>
      </c>
      <c r="R211" s="26">
        <f t="shared" si="27"/>
        <v>9.4445994976276856E-2</v>
      </c>
      <c r="S211" s="27">
        <f t="shared" si="28"/>
        <v>3.2594793010835295</v>
      </c>
      <c r="T211" s="2">
        <f t="shared" si="29"/>
        <v>0.90555400502372319</v>
      </c>
      <c r="U211" s="2">
        <f t="shared" si="30"/>
        <v>9.444599497627685</v>
      </c>
      <c r="V211" s="2">
        <f t="shared" si="25"/>
        <v>10.350153502651409</v>
      </c>
      <c r="W211" s="2">
        <v>0</v>
      </c>
      <c r="X211" s="2">
        <v>0</v>
      </c>
      <c r="Y211" s="2">
        <v>0</v>
      </c>
      <c r="Z211">
        <f t="shared" si="31"/>
        <v>0.2263885012559308</v>
      </c>
    </row>
    <row r="212" spans="1:26">
      <c r="A212" s="2" t="s">
        <v>13</v>
      </c>
      <c r="B212" s="2" t="s">
        <v>6</v>
      </c>
      <c r="C212" s="15" t="s">
        <v>32</v>
      </c>
      <c r="D212" s="16" t="s">
        <v>260</v>
      </c>
      <c r="E212" s="15"/>
      <c r="F212" s="17">
        <v>1768.8</v>
      </c>
      <c r="G212" s="17">
        <v>104.05</v>
      </c>
      <c r="H212" s="18">
        <v>0.17499999999999999</v>
      </c>
      <c r="I212" s="19">
        <v>3.12</v>
      </c>
      <c r="J212" s="19">
        <v>2</v>
      </c>
      <c r="K212" s="19">
        <v>0.84</v>
      </c>
      <c r="L212" s="20">
        <v>27</v>
      </c>
      <c r="M212" s="28">
        <v>44.544320999999997</v>
      </c>
      <c r="N212" s="28">
        <v>11.382828</v>
      </c>
      <c r="O212" s="26">
        <f>IF(COUNTA(C212:N212),IF(LEFT(E$4,1)="C",ZenithAngle(M212,N212,D212,$I$4),L212),"---")</f>
        <v>27</v>
      </c>
      <c r="P212" s="26">
        <f t="shared" si="24"/>
        <v>0.84</v>
      </c>
      <c r="Q212" s="26">
        <f t="shared" si="26"/>
        <v>0.75144198109754745</v>
      </c>
      <c r="R212" s="26">
        <f t="shared" si="27"/>
        <v>5.8825192220714612E-2</v>
      </c>
      <c r="S212" s="27">
        <f t="shared" si="28"/>
        <v>3.9134644656410718</v>
      </c>
      <c r="T212" s="2">
        <f t="shared" si="29"/>
        <v>0.94117480777928542</v>
      </c>
      <c r="U212" s="2">
        <f t="shared" si="30"/>
        <v>5.8825192220714611</v>
      </c>
      <c r="V212" s="2">
        <f t="shared" si="25"/>
        <v>6.8236940298507465</v>
      </c>
      <c r="W212" s="2">
        <v>0</v>
      </c>
      <c r="X212" s="2">
        <v>0</v>
      </c>
      <c r="Y212" s="2">
        <v>0</v>
      </c>
      <c r="Z212">
        <f t="shared" si="31"/>
        <v>0.23529370194482135</v>
      </c>
    </row>
    <row r="213" spans="1:26">
      <c r="A213" s="2" t="s">
        <v>13</v>
      </c>
      <c r="B213" s="2" t="s">
        <v>6</v>
      </c>
      <c r="C213" s="15" t="s">
        <v>32</v>
      </c>
      <c r="D213" s="16" t="s">
        <v>261</v>
      </c>
      <c r="E213" s="15"/>
      <c r="F213" s="17">
        <v>1827.1</v>
      </c>
      <c r="G213" s="17">
        <v>112.925</v>
      </c>
      <c r="H213" s="18">
        <v>0.17499999999999999</v>
      </c>
      <c r="I213" s="19">
        <v>3.12</v>
      </c>
      <c r="J213" s="19">
        <v>2</v>
      </c>
      <c r="K213" s="19">
        <v>0.84</v>
      </c>
      <c r="L213" s="20">
        <v>27</v>
      </c>
      <c r="M213" s="28">
        <v>44.544320999999997</v>
      </c>
      <c r="N213" s="28">
        <v>11.382828</v>
      </c>
      <c r="O213" s="26">
        <f>IF(COUNTA(C213:N213),IF(LEFT(E$4,1)="C",ZenithAngle(M213,N213,D213,$I$4),L213),"---")</f>
        <v>27</v>
      </c>
      <c r="P213" s="26">
        <f t="shared" si="24"/>
        <v>0.84</v>
      </c>
      <c r="Q213" s="26">
        <f t="shared" si="26"/>
        <v>0.75144198109754745</v>
      </c>
      <c r="R213" s="26">
        <f t="shared" si="27"/>
        <v>6.1805593563570689E-2</v>
      </c>
      <c r="S213" s="27">
        <f t="shared" si="28"/>
        <v>3.8451957975243691</v>
      </c>
      <c r="T213" s="2">
        <f t="shared" si="29"/>
        <v>0.93819440643642926</v>
      </c>
      <c r="U213" s="2">
        <f t="shared" si="30"/>
        <v>6.1805593563570689</v>
      </c>
      <c r="V213" s="2">
        <f t="shared" si="25"/>
        <v>7.1187537627934985</v>
      </c>
      <c r="W213" s="2">
        <v>0</v>
      </c>
      <c r="X213" s="2">
        <v>0</v>
      </c>
      <c r="Y213" s="2">
        <v>0</v>
      </c>
      <c r="Z213">
        <f t="shared" si="31"/>
        <v>0.23454860160910732</v>
      </c>
    </row>
    <row r="214" spans="1:26">
      <c r="A214" s="2" t="s">
        <v>13</v>
      </c>
      <c r="B214" s="2" t="s">
        <v>6</v>
      </c>
      <c r="C214" s="15" t="s">
        <v>32</v>
      </c>
      <c r="D214" s="16" t="s">
        <v>262</v>
      </c>
      <c r="E214" s="15"/>
      <c r="F214" s="17">
        <v>1764</v>
      </c>
      <c r="G214" s="17">
        <v>261.875</v>
      </c>
      <c r="H214" s="18">
        <v>0.17499999999999999</v>
      </c>
      <c r="I214" s="19">
        <v>3.12</v>
      </c>
      <c r="J214" s="19">
        <v>2</v>
      </c>
      <c r="K214" s="19">
        <v>0.84</v>
      </c>
      <c r="L214" s="20">
        <v>27</v>
      </c>
      <c r="M214" s="28">
        <v>44.544320999999997</v>
      </c>
      <c r="N214" s="28">
        <v>11.382828</v>
      </c>
      <c r="O214" s="26">
        <f>IF(COUNTA(C214:N214),IF(LEFT(E$4,1)="C",ZenithAngle(M214,N214,D214,$I$4),L214),"---")</f>
        <v>27</v>
      </c>
      <c r="P214" s="26">
        <f t="shared" si="24"/>
        <v>0.84</v>
      </c>
      <c r="Q214" s="26">
        <f t="shared" si="26"/>
        <v>0.75144198109754745</v>
      </c>
      <c r="R214" s="26">
        <f t="shared" si="27"/>
        <v>0.14845521541950113</v>
      </c>
      <c r="S214" s="27">
        <f t="shared" si="28"/>
        <v>2.634781518803694</v>
      </c>
      <c r="T214" s="2">
        <f t="shared" si="29"/>
        <v>0.85154478458049887</v>
      </c>
      <c r="U214" s="2">
        <f t="shared" si="30"/>
        <v>14.845521541950113</v>
      </c>
      <c r="V214" s="2">
        <f t="shared" si="25"/>
        <v>15.697066326530612</v>
      </c>
      <c r="W214" s="2">
        <v>0</v>
      </c>
      <c r="X214" s="2">
        <v>0</v>
      </c>
      <c r="Y214" s="2">
        <v>0</v>
      </c>
      <c r="Z214">
        <f t="shared" si="31"/>
        <v>0.21288619614512472</v>
      </c>
    </row>
    <row r="215" spans="1:26">
      <c r="A215" s="2" t="s">
        <v>13</v>
      </c>
      <c r="B215" s="2" t="s">
        <v>6</v>
      </c>
      <c r="C215" s="15" t="s">
        <v>32</v>
      </c>
      <c r="D215" s="16" t="s">
        <v>263</v>
      </c>
      <c r="E215" s="15"/>
      <c r="F215" s="17">
        <v>1705.3</v>
      </c>
      <c r="G215" s="17">
        <v>428.63749999999999</v>
      </c>
      <c r="H215" s="18">
        <v>0.17499999999999999</v>
      </c>
      <c r="I215" s="19">
        <v>3.12</v>
      </c>
      <c r="J215" s="19">
        <v>2</v>
      </c>
      <c r="K215" s="19">
        <v>0.84</v>
      </c>
      <c r="L215" s="20">
        <v>27</v>
      </c>
      <c r="M215" s="28">
        <v>44.544320999999997</v>
      </c>
      <c r="N215" s="28">
        <v>11.382828</v>
      </c>
      <c r="O215" s="26">
        <f>IF(COUNTA(C215:N215),IF(LEFT(E$4,1)="C",ZenithAngle(M215,N215,D215,$I$4),L215),"---")</f>
        <v>27</v>
      </c>
      <c r="P215" s="26">
        <f t="shared" si="24"/>
        <v>0.84</v>
      </c>
      <c r="Q215" s="26">
        <f t="shared" si="26"/>
        <v>0.75144198109754745</v>
      </c>
      <c r="R215" s="26">
        <f t="shared" si="27"/>
        <v>0.25135606638128188</v>
      </c>
      <c r="S215" s="27">
        <f t="shared" si="28"/>
        <v>1.9074092476783184</v>
      </c>
      <c r="T215" s="2">
        <f t="shared" si="29"/>
        <v>0.74864393361871806</v>
      </c>
      <c r="U215" s="2">
        <f t="shared" si="30"/>
        <v>25.135606638128188</v>
      </c>
      <c r="V215" s="2">
        <f t="shared" si="25"/>
        <v>25.884250571746907</v>
      </c>
      <c r="W215" s="2">
        <v>0</v>
      </c>
      <c r="X215" s="2">
        <v>0</v>
      </c>
      <c r="Y215" s="2">
        <v>0</v>
      </c>
      <c r="Z215">
        <f t="shared" si="31"/>
        <v>0.18716098340467952</v>
      </c>
    </row>
    <row r="216" spans="1:26">
      <c r="A216" s="2" t="s">
        <v>13</v>
      </c>
      <c r="B216" s="2" t="s">
        <v>6</v>
      </c>
      <c r="C216" s="15" t="s">
        <v>32</v>
      </c>
      <c r="D216" s="16" t="s">
        <v>264</v>
      </c>
      <c r="E216" s="15"/>
      <c r="F216" s="17">
        <v>1670.4</v>
      </c>
      <c r="G216" s="17">
        <v>248.29999999999998</v>
      </c>
      <c r="H216" s="18">
        <v>0.17499999999999999</v>
      </c>
      <c r="I216" s="19">
        <v>3.12</v>
      </c>
      <c r="J216" s="19">
        <v>2</v>
      </c>
      <c r="K216" s="19">
        <v>0.84</v>
      </c>
      <c r="L216" s="20">
        <v>27</v>
      </c>
      <c r="M216" s="28">
        <v>44.544320999999997</v>
      </c>
      <c r="N216" s="28">
        <v>11.382828</v>
      </c>
      <c r="O216" s="26">
        <f>IF(COUNTA(C216:N216),IF(LEFT(E$4,1)="C",ZenithAngle(M216,N216,D216,$I$4),L216),"---")</f>
        <v>27</v>
      </c>
      <c r="P216" s="26">
        <f t="shared" si="24"/>
        <v>0.84</v>
      </c>
      <c r="Q216" s="26">
        <f t="shared" si="26"/>
        <v>0.75144198109754745</v>
      </c>
      <c r="R216" s="26">
        <f t="shared" si="27"/>
        <v>0.14864703065134097</v>
      </c>
      <c r="S216" s="27">
        <f t="shared" si="28"/>
        <v>2.6329979344199077</v>
      </c>
      <c r="T216" s="2">
        <f t="shared" si="29"/>
        <v>0.85135296934865901</v>
      </c>
      <c r="U216" s="2">
        <f t="shared" si="30"/>
        <v>14.864703065134096</v>
      </c>
      <c r="V216" s="2">
        <f t="shared" si="25"/>
        <v>15.716056034482754</v>
      </c>
      <c r="W216" s="2">
        <v>0</v>
      </c>
      <c r="X216" s="2">
        <v>0</v>
      </c>
      <c r="Y216" s="2">
        <v>0</v>
      </c>
      <c r="Z216">
        <f t="shared" si="31"/>
        <v>0.21283824233716475</v>
      </c>
    </row>
    <row r="217" spans="1:26">
      <c r="A217" s="2" t="s">
        <v>13</v>
      </c>
      <c r="B217" s="2" t="s">
        <v>7</v>
      </c>
      <c r="C217" s="15" t="s">
        <v>32</v>
      </c>
      <c r="D217" s="16" t="s">
        <v>265</v>
      </c>
      <c r="E217" s="15"/>
      <c r="F217" s="17">
        <v>1759.3</v>
      </c>
      <c r="G217" s="17">
        <v>99.025000000000006</v>
      </c>
      <c r="H217" s="18">
        <v>4.9000000000000002E-2</v>
      </c>
      <c r="I217" s="19">
        <v>4.51</v>
      </c>
      <c r="J217" s="19">
        <v>2</v>
      </c>
      <c r="K217" s="19">
        <v>0.84</v>
      </c>
      <c r="L217" s="20">
        <v>26</v>
      </c>
      <c r="M217" s="28">
        <v>44.544320999999997</v>
      </c>
      <c r="N217" s="28">
        <v>11.382828</v>
      </c>
      <c r="O217" s="26">
        <f>IF(COUNTA(C217:N217),IF(LEFT(E$4,1)="C",ZenithAngle(M217,N217,D217,$I$4),L217),"---")</f>
        <v>26</v>
      </c>
      <c r="P217" s="26">
        <f t="shared" si="24"/>
        <v>0.84</v>
      </c>
      <c r="Q217" s="26">
        <f t="shared" si="26"/>
        <v>0.74952255320078087</v>
      </c>
      <c r="R217" s="26">
        <f t="shared" si="27"/>
        <v>5.6286591257886667E-2</v>
      </c>
      <c r="S217" s="27">
        <f t="shared" si="28"/>
        <v>3.9823114933007355</v>
      </c>
      <c r="T217" s="2">
        <f t="shared" si="29"/>
        <v>0.94371340874211329</v>
      </c>
      <c r="U217" s="2">
        <f t="shared" si="30"/>
        <v>5.6286591257886665</v>
      </c>
      <c r="V217" s="2">
        <f t="shared" si="25"/>
        <v>6.5723725345307802</v>
      </c>
      <c r="W217" s="2">
        <v>0</v>
      </c>
      <c r="X217" s="2">
        <v>0</v>
      </c>
      <c r="Y217" s="2">
        <v>0</v>
      </c>
      <c r="Z217">
        <f t="shared" si="31"/>
        <v>0.23592835218552832</v>
      </c>
    </row>
    <row r="218" spans="1:26">
      <c r="A218" s="2" t="s">
        <v>13</v>
      </c>
      <c r="B218" s="2" t="s">
        <v>7</v>
      </c>
      <c r="C218" s="15" t="s">
        <v>32</v>
      </c>
      <c r="D218" s="16" t="s">
        <v>266</v>
      </c>
      <c r="E218" s="15"/>
      <c r="F218" s="17">
        <v>1781.4</v>
      </c>
      <c r="G218" s="17">
        <v>53.199999999999996</v>
      </c>
      <c r="H218" s="18">
        <v>4.9000000000000002E-2</v>
      </c>
      <c r="I218" s="19">
        <v>4.51</v>
      </c>
      <c r="J218" s="19">
        <v>2</v>
      </c>
      <c r="K218" s="19">
        <v>0.84</v>
      </c>
      <c r="L218" s="20">
        <v>26</v>
      </c>
      <c r="M218" s="28">
        <v>44.544320999999997</v>
      </c>
      <c r="N218" s="28">
        <v>11.382828</v>
      </c>
      <c r="O218" s="26">
        <f>IF(COUNTA(C218:N218),IF(LEFT(E$4,1)="C",ZenithAngle(M218,N218,D218,$I$4),L218),"---")</f>
        <v>26</v>
      </c>
      <c r="P218" s="26">
        <f t="shared" si="24"/>
        <v>0.84</v>
      </c>
      <c r="Q218" s="26">
        <f t="shared" si="26"/>
        <v>0.74952255320078087</v>
      </c>
      <c r="R218" s="26">
        <f t="shared" si="27"/>
        <v>2.9864151790726393E-2</v>
      </c>
      <c r="S218" s="27">
        <f t="shared" si="28"/>
        <v>4.8595158397041711</v>
      </c>
      <c r="T218" s="2">
        <f t="shared" si="29"/>
        <v>0.97013584820927357</v>
      </c>
      <c r="U218" s="2">
        <f t="shared" si="30"/>
        <v>2.9864151790726394</v>
      </c>
      <c r="V218" s="2">
        <f t="shared" si="25"/>
        <v>3.9565510272819129</v>
      </c>
      <c r="W218" s="2">
        <v>0</v>
      </c>
      <c r="X218" s="2">
        <v>0</v>
      </c>
      <c r="Y218" s="2">
        <v>0</v>
      </c>
      <c r="Z218">
        <f t="shared" si="31"/>
        <v>0.24253396205231839</v>
      </c>
    </row>
    <row r="219" spans="1:26">
      <c r="A219" s="2" t="s">
        <v>13</v>
      </c>
      <c r="B219" s="2" t="s">
        <v>7</v>
      </c>
      <c r="C219" s="15" t="s">
        <v>32</v>
      </c>
      <c r="D219" s="16" t="s">
        <v>267</v>
      </c>
      <c r="E219" s="15"/>
      <c r="F219" s="17">
        <v>1782.7</v>
      </c>
      <c r="G219" s="17">
        <v>55.987500000000011</v>
      </c>
      <c r="H219" s="18">
        <v>4.9000000000000002E-2</v>
      </c>
      <c r="I219" s="19">
        <v>4.51</v>
      </c>
      <c r="J219" s="19">
        <v>2</v>
      </c>
      <c r="K219" s="19">
        <v>0.84</v>
      </c>
      <c r="L219" s="20">
        <v>26</v>
      </c>
      <c r="M219" s="28">
        <v>44.544320999999997</v>
      </c>
      <c r="N219" s="28">
        <v>11.382828</v>
      </c>
      <c r="O219" s="26">
        <f>IF(COUNTA(C219:N219),IF(LEFT(E$4,1)="C",ZenithAngle(M219,N219,D219,$I$4),L219),"---")</f>
        <v>26</v>
      </c>
      <c r="P219" s="26">
        <f t="shared" si="24"/>
        <v>0.84</v>
      </c>
      <c r="Q219" s="26">
        <f t="shared" si="26"/>
        <v>0.74952255320078087</v>
      </c>
      <c r="R219" s="26">
        <f t="shared" si="27"/>
        <v>3.1406013350535708E-2</v>
      </c>
      <c r="S219" s="27">
        <f t="shared" si="28"/>
        <v>4.7898422368176137</v>
      </c>
      <c r="T219" s="2">
        <f t="shared" si="29"/>
        <v>0.96859398664946428</v>
      </c>
      <c r="U219" s="2">
        <f t="shared" si="30"/>
        <v>3.1406013350535709</v>
      </c>
      <c r="V219" s="2">
        <f t="shared" si="25"/>
        <v>4.1091953217030355</v>
      </c>
      <c r="W219" s="2">
        <v>0</v>
      </c>
      <c r="X219" s="2">
        <v>0</v>
      </c>
      <c r="Y219" s="2">
        <v>0</v>
      </c>
      <c r="Z219">
        <f t="shared" si="31"/>
        <v>0.24214849666236607</v>
      </c>
    </row>
    <row r="220" spans="1:26">
      <c r="A220" s="2" t="s">
        <v>13</v>
      </c>
      <c r="B220" s="2" t="s">
        <v>7</v>
      </c>
      <c r="C220" s="15" t="s">
        <v>32</v>
      </c>
      <c r="D220" s="16" t="s">
        <v>268</v>
      </c>
      <c r="E220" s="15"/>
      <c r="F220" s="17">
        <v>1808.1</v>
      </c>
      <c r="G220" s="17">
        <v>127.28749999999999</v>
      </c>
      <c r="H220" s="18">
        <v>4.9000000000000002E-2</v>
      </c>
      <c r="I220" s="19">
        <v>4.51</v>
      </c>
      <c r="J220" s="19">
        <v>2</v>
      </c>
      <c r="K220" s="19">
        <v>0.84</v>
      </c>
      <c r="L220" s="20">
        <v>26</v>
      </c>
      <c r="M220" s="28">
        <v>44.544320999999997</v>
      </c>
      <c r="N220" s="28">
        <v>11.382828</v>
      </c>
      <c r="O220" s="26">
        <f>IF(COUNTA(C220:N220),IF(LEFT(E$4,1)="C",ZenithAngle(M220,N220,D220,$I$4),L220),"---")</f>
        <v>26</v>
      </c>
      <c r="P220" s="26">
        <f t="shared" si="24"/>
        <v>0.84</v>
      </c>
      <c r="Q220" s="26">
        <f t="shared" si="26"/>
        <v>0.74952255320078087</v>
      </c>
      <c r="R220" s="26">
        <f t="shared" si="27"/>
        <v>7.0398484597090874E-2</v>
      </c>
      <c r="S220" s="27">
        <f t="shared" si="28"/>
        <v>3.6726792952649285</v>
      </c>
      <c r="T220" s="2">
        <f t="shared" si="29"/>
        <v>0.92960151540290914</v>
      </c>
      <c r="U220" s="2">
        <f t="shared" si="30"/>
        <v>7.0398484597090878</v>
      </c>
      <c r="V220" s="2">
        <f t="shared" si="25"/>
        <v>7.9694499751119974</v>
      </c>
      <c r="W220" s="2">
        <v>0</v>
      </c>
      <c r="X220" s="2">
        <v>0</v>
      </c>
      <c r="Y220" s="2">
        <v>0</v>
      </c>
      <c r="Z220">
        <f t="shared" si="31"/>
        <v>0.23240037885072728</v>
      </c>
    </row>
    <row r="221" spans="1:26">
      <c r="A221" s="2" t="s">
        <v>13</v>
      </c>
      <c r="B221" s="2" t="s">
        <v>7</v>
      </c>
      <c r="C221" s="15" t="s">
        <v>32</v>
      </c>
      <c r="D221" s="16" t="s">
        <v>269</v>
      </c>
      <c r="E221" s="15"/>
      <c r="F221" s="17">
        <v>1763.9</v>
      </c>
      <c r="G221" s="17">
        <v>72.037499999999994</v>
      </c>
      <c r="H221" s="18">
        <v>4.9000000000000002E-2</v>
      </c>
      <c r="I221" s="19">
        <v>4.51</v>
      </c>
      <c r="J221" s="19">
        <v>2</v>
      </c>
      <c r="K221" s="19">
        <v>0.84</v>
      </c>
      <c r="L221" s="20">
        <v>26</v>
      </c>
      <c r="M221" s="28">
        <v>44.544320999999997</v>
      </c>
      <c r="N221" s="28">
        <v>11.382828</v>
      </c>
      <c r="O221" s="26">
        <f>IF(COUNTA(C221:N221),IF(LEFT(E$4,1)="C",ZenithAngle(M221,N221,D221,$I$4),L221),"---")</f>
        <v>26</v>
      </c>
      <c r="P221" s="26">
        <f t="shared" si="24"/>
        <v>0.84</v>
      </c>
      <c r="Q221" s="26">
        <f t="shared" si="26"/>
        <v>0.74952255320078087</v>
      </c>
      <c r="R221" s="26">
        <f t="shared" si="27"/>
        <v>4.0839900221100962E-2</v>
      </c>
      <c r="S221" s="27">
        <f t="shared" si="28"/>
        <v>4.4263087192253918</v>
      </c>
      <c r="T221" s="2">
        <f t="shared" si="29"/>
        <v>0.95916009977889904</v>
      </c>
      <c r="U221" s="2">
        <f t="shared" si="30"/>
        <v>4.083990022110096</v>
      </c>
      <c r="V221" s="2">
        <f t="shared" si="25"/>
        <v>5.0431501218889947</v>
      </c>
      <c r="W221" s="2">
        <v>0</v>
      </c>
      <c r="X221" s="2">
        <v>0</v>
      </c>
      <c r="Y221" s="2">
        <v>0</v>
      </c>
      <c r="Z221">
        <f t="shared" si="31"/>
        <v>0.23979002494472476</v>
      </c>
    </row>
    <row r="222" spans="1:26">
      <c r="A222" s="2" t="s">
        <v>13</v>
      </c>
      <c r="B222" s="2" t="s">
        <v>7</v>
      </c>
      <c r="C222" s="15" t="s">
        <v>32</v>
      </c>
      <c r="D222" s="16" t="s">
        <v>270</v>
      </c>
      <c r="E222" s="15"/>
      <c r="F222" s="17">
        <v>1763.3</v>
      </c>
      <c r="G222" s="17">
        <v>76.812500000000014</v>
      </c>
      <c r="H222" s="18">
        <v>4.9000000000000002E-2</v>
      </c>
      <c r="I222" s="19">
        <v>4.51</v>
      </c>
      <c r="J222" s="19">
        <v>2</v>
      </c>
      <c r="K222" s="19">
        <v>0.84</v>
      </c>
      <c r="L222" s="20">
        <v>26</v>
      </c>
      <c r="M222" s="28">
        <v>44.544320999999997</v>
      </c>
      <c r="N222" s="28">
        <v>11.382828</v>
      </c>
      <c r="O222" s="26">
        <f>IF(COUNTA(C222:N222),IF(LEFT(E$4,1)="C",ZenithAngle(M222,N222,D222,$I$4),L222),"---")</f>
        <v>26</v>
      </c>
      <c r="P222" s="26">
        <f t="shared" si="24"/>
        <v>0.84</v>
      </c>
      <c r="Q222" s="26">
        <f t="shared" si="26"/>
        <v>0.74952255320078087</v>
      </c>
      <c r="R222" s="26">
        <f t="shared" si="27"/>
        <v>4.3561787557420753E-2</v>
      </c>
      <c r="S222" s="27">
        <f t="shared" si="28"/>
        <v>4.3370090446776546</v>
      </c>
      <c r="T222" s="2">
        <f t="shared" si="29"/>
        <v>0.95643821244257921</v>
      </c>
      <c r="U222" s="2">
        <f t="shared" si="30"/>
        <v>4.356178755742075</v>
      </c>
      <c r="V222" s="2">
        <f t="shared" si="25"/>
        <v>5.3126169681846545</v>
      </c>
      <c r="W222" s="2">
        <v>0</v>
      </c>
      <c r="X222" s="2">
        <v>0</v>
      </c>
      <c r="Y222" s="2">
        <v>0</v>
      </c>
      <c r="Z222">
        <f t="shared" si="31"/>
        <v>0.2391095531106448</v>
      </c>
    </row>
    <row r="223" spans="1:26">
      <c r="A223" s="2" t="s">
        <v>13</v>
      </c>
      <c r="B223" s="2" t="s">
        <v>7</v>
      </c>
      <c r="C223" s="15" t="s">
        <v>32</v>
      </c>
      <c r="D223" s="16" t="s">
        <v>271</v>
      </c>
      <c r="E223" s="15"/>
      <c r="F223" s="17">
        <v>1735</v>
      </c>
      <c r="G223" s="17">
        <v>76.650000000000006</v>
      </c>
      <c r="H223" s="18">
        <v>4.9000000000000002E-2</v>
      </c>
      <c r="I223" s="19">
        <v>4.51</v>
      </c>
      <c r="J223" s="19">
        <v>2</v>
      </c>
      <c r="K223" s="19">
        <v>0.84</v>
      </c>
      <c r="L223" s="20">
        <v>26</v>
      </c>
      <c r="M223" s="28">
        <v>44.544320999999997</v>
      </c>
      <c r="N223" s="28">
        <v>11.382828</v>
      </c>
      <c r="O223" s="26">
        <f>IF(COUNTA(C223:N223),IF(LEFT(E$4,1)="C",ZenithAngle(M223,N223,D223,$I$4),L223),"---")</f>
        <v>26</v>
      </c>
      <c r="P223" s="26">
        <f t="shared" si="24"/>
        <v>0.84</v>
      </c>
      <c r="Q223" s="26">
        <f t="shared" si="26"/>
        <v>0.74952255320078087</v>
      </c>
      <c r="R223" s="26">
        <f t="shared" si="27"/>
        <v>4.4178674351585019E-2</v>
      </c>
      <c r="S223" s="27">
        <f t="shared" si="28"/>
        <v>4.3175467989979133</v>
      </c>
      <c r="T223" s="2">
        <f t="shared" si="29"/>
        <v>0.95582132564841493</v>
      </c>
      <c r="U223" s="2">
        <f t="shared" si="30"/>
        <v>4.4178674351585023</v>
      </c>
      <c r="V223" s="2">
        <f t="shared" si="25"/>
        <v>5.3736887608069175</v>
      </c>
      <c r="W223" s="2">
        <v>0</v>
      </c>
      <c r="X223" s="2">
        <v>0</v>
      </c>
      <c r="Y223" s="2">
        <v>0</v>
      </c>
      <c r="Z223">
        <f t="shared" si="31"/>
        <v>0.23895533141210373</v>
      </c>
    </row>
    <row r="224" spans="1:26">
      <c r="A224" s="2" t="s">
        <v>13</v>
      </c>
      <c r="B224" s="2" t="s">
        <v>7</v>
      </c>
      <c r="C224" s="15" t="s">
        <v>32</v>
      </c>
      <c r="D224" s="16" t="s">
        <v>272</v>
      </c>
      <c r="E224" s="15"/>
      <c r="F224" s="17">
        <v>1747.2</v>
      </c>
      <c r="G224" s="17">
        <v>98.487500000000011</v>
      </c>
      <c r="H224" s="18">
        <v>4.9000000000000002E-2</v>
      </c>
      <c r="I224" s="19">
        <v>4.51</v>
      </c>
      <c r="J224" s="19">
        <v>2</v>
      </c>
      <c r="K224" s="19">
        <v>0.84</v>
      </c>
      <c r="L224" s="20">
        <v>26</v>
      </c>
      <c r="M224" s="28">
        <v>44.544320999999997</v>
      </c>
      <c r="N224" s="28">
        <v>11.382828</v>
      </c>
      <c r="O224" s="26">
        <f>IF(COUNTA(C224:N224),IF(LEFT(E$4,1)="C",ZenithAngle(M224,N224,D224,$I$4),L224),"---")</f>
        <v>26</v>
      </c>
      <c r="P224" s="26">
        <f t="shared" si="24"/>
        <v>0.84</v>
      </c>
      <c r="Q224" s="26">
        <f t="shared" si="26"/>
        <v>0.74952255320078087</v>
      </c>
      <c r="R224" s="26">
        <f t="shared" si="27"/>
        <v>5.6368761446886455E-2</v>
      </c>
      <c r="S224" s="27">
        <f t="shared" si="28"/>
        <v>3.9802924633159944</v>
      </c>
      <c r="T224" s="2">
        <f t="shared" si="29"/>
        <v>0.94363123855311359</v>
      </c>
      <c r="U224" s="2">
        <f t="shared" si="30"/>
        <v>5.6368761446886451</v>
      </c>
      <c r="V224" s="2">
        <f t="shared" si="25"/>
        <v>6.5805073832417591</v>
      </c>
      <c r="W224" s="2">
        <v>0</v>
      </c>
      <c r="X224" s="2">
        <v>0</v>
      </c>
      <c r="Y224" s="2">
        <v>0</v>
      </c>
      <c r="Z224">
        <f t="shared" si="31"/>
        <v>0.2359078096382784</v>
      </c>
    </row>
    <row r="225" spans="1:26">
      <c r="A225" s="2" t="s">
        <v>13</v>
      </c>
      <c r="B225" s="2" t="s">
        <v>7</v>
      </c>
      <c r="C225" s="15" t="s">
        <v>32</v>
      </c>
      <c r="D225" s="16" t="s">
        <v>273</v>
      </c>
      <c r="E225" s="15"/>
      <c r="F225" s="17">
        <v>1793.7</v>
      </c>
      <c r="G225" s="17">
        <v>88.987499999999997</v>
      </c>
      <c r="H225" s="18">
        <v>4.9000000000000002E-2</v>
      </c>
      <c r="I225" s="19">
        <v>4.51</v>
      </c>
      <c r="J225" s="19">
        <v>2</v>
      </c>
      <c r="K225" s="19">
        <v>0.84</v>
      </c>
      <c r="L225" s="20">
        <v>26</v>
      </c>
      <c r="M225" s="28">
        <v>44.544320999999997</v>
      </c>
      <c r="N225" s="28">
        <v>11.382828</v>
      </c>
      <c r="O225" s="26">
        <f>IF(COUNTA(C225:N225),IF(LEFT(E$4,1)="C",ZenithAngle(M225,N225,D225,$I$4),L225),"---")</f>
        <v>26</v>
      </c>
      <c r="P225" s="26">
        <f t="shared" si="24"/>
        <v>0.84</v>
      </c>
      <c r="Q225" s="26">
        <f t="shared" si="26"/>
        <v>0.74952255320078087</v>
      </c>
      <c r="R225" s="26">
        <f t="shared" si="27"/>
        <v>4.9611138986452578E-2</v>
      </c>
      <c r="S225" s="27">
        <f t="shared" si="28"/>
        <v>4.1570346697120186</v>
      </c>
      <c r="T225" s="2">
        <f t="shared" si="29"/>
        <v>0.95038886101354747</v>
      </c>
      <c r="U225" s="2">
        <f t="shared" si="30"/>
        <v>4.9611138986452579</v>
      </c>
      <c r="V225" s="2">
        <f t="shared" si="25"/>
        <v>5.9115027596588057</v>
      </c>
      <c r="W225" s="2">
        <v>0</v>
      </c>
      <c r="X225" s="2">
        <v>0</v>
      </c>
      <c r="Y225" s="2">
        <v>0</v>
      </c>
      <c r="Z225">
        <f t="shared" si="31"/>
        <v>0.23759721525338687</v>
      </c>
    </row>
    <row r="226" spans="1:26">
      <c r="A226" s="2" t="s">
        <v>13</v>
      </c>
      <c r="B226" s="2" t="s">
        <v>7</v>
      </c>
      <c r="C226" s="15" t="s">
        <v>32</v>
      </c>
      <c r="D226" s="16" t="s">
        <v>274</v>
      </c>
      <c r="E226" s="15"/>
      <c r="F226" s="17">
        <v>1690.8</v>
      </c>
      <c r="G226" s="17">
        <v>110.91249999999999</v>
      </c>
      <c r="H226" s="18">
        <v>4.9000000000000002E-2</v>
      </c>
      <c r="I226" s="19">
        <v>4.51</v>
      </c>
      <c r="J226" s="19">
        <v>2</v>
      </c>
      <c r="K226" s="19">
        <v>0.84</v>
      </c>
      <c r="L226" s="20">
        <v>26</v>
      </c>
      <c r="M226" s="28">
        <v>44.544320999999997</v>
      </c>
      <c r="N226" s="28">
        <v>11.382828</v>
      </c>
      <c r="O226" s="26">
        <f>IF(COUNTA(C226:N226),IF(LEFT(E$4,1)="C",ZenithAngle(M226,N226,D226,$I$4),L226),"---")</f>
        <v>26</v>
      </c>
      <c r="P226" s="26">
        <f t="shared" si="24"/>
        <v>0.84</v>
      </c>
      <c r="Q226" s="26">
        <f t="shared" si="26"/>
        <v>0.74952255320078087</v>
      </c>
      <c r="R226" s="26">
        <f t="shared" si="27"/>
        <v>6.5597646084693637E-2</v>
      </c>
      <c r="S226" s="27">
        <f t="shared" si="28"/>
        <v>3.7704370647072865</v>
      </c>
      <c r="T226" s="2">
        <f t="shared" si="29"/>
        <v>0.93440235391530635</v>
      </c>
      <c r="U226" s="2">
        <f t="shared" si="30"/>
        <v>6.5597646084693633</v>
      </c>
      <c r="V226" s="2">
        <f t="shared" si="25"/>
        <v>7.4941669623846696</v>
      </c>
      <c r="W226" s="2">
        <v>0</v>
      </c>
      <c r="X226" s="2">
        <v>0</v>
      </c>
      <c r="Y226" s="2">
        <v>0</v>
      </c>
      <c r="Z226">
        <f t="shared" si="31"/>
        <v>0.23360058847882659</v>
      </c>
    </row>
    <row r="227" spans="1:26">
      <c r="A227" s="2" t="s">
        <v>13</v>
      </c>
      <c r="B227" s="2" t="s">
        <v>8</v>
      </c>
      <c r="C227" s="15" t="s">
        <v>32</v>
      </c>
      <c r="D227" s="16" t="s">
        <v>275</v>
      </c>
      <c r="E227" s="15"/>
      <c r="F227" s="17">
        <v>1724.6</v>
      </c>
      <c r="G227" s="17">
        <v>301.31250000000006</v>
      </c>
      <c r="H227" s="18">
        <v>0.16800000000000001</v>
      </c>
      <c r="I227" s="19">
        <v>3.02</v>
      </c>
      <c r="J227" s="19">
        <v>2</v>
      </c>
      <c r="K227" s="19">
        <v>0.86</v>
      </c>
      <c r="L227" s="20">
        <v>26</v>
      </c>
      <c r="M227" s="28">
        <v>44.544320999999997</v>
      </c>
      <c r="N227" s="28">
        <v>11.382828</v>
      </c>
      <c r="O227" s="26">
        <f>IF(COUNTA(C227:N227),IF(LEFT(E$4,1)="C",ZenithAngle(M227,N227,D227,$I$4),L227),"---")</f>
        <v>26</v>
      </c>
      <c r="P227" s="26">
        <f t="shared" si="24"/>
        <v>0.86</v>
      </c>
      <c r="Q227" s="26">
        <f t="shared" si="26"/>
        <v>0.74952255320078087</v>
      </c>
      <c r="R227" s="26">
        <f t="shared" si="27"/>
        <v>0.17471442653368902</v>
      </c>
      <c r="S227" s="27">
        <f t="shared" si="28"/>
        <v>2.4300339981920183</v>
      </c>
      <c r="T227" s="2">
        <f t="shared" si="29"/>
        <v>0.82528557346631093</v>
      </c>
      <c r="U227" s="2">
        <f t="shared" si="30"/>
        <v>17.4714426533689</v>
      </c>
      <c r="V227" s="2">
        <f t="shared" si="25"/>
        <v>18.29672822683521</v>
      </c>
      <c r="W227" s="2">
        <v>0</v>
      </c>
      <c r="X227" s="2">
        <v>0</v>
      </c>
      <c r="Y227" s="2">
        <v>0</v>
      </c>
      <c r="Z227">
        <f t="shared" si="31"/>
        <v>0.20632139336657773</v>
      </c>
    </row>
    <row r="228" spans="1:26">
      <c r="A228" s="2" t="s">
        <v>13</v>
      </c>
      <c r="B228" s="2" t="s">
        <v>8</v>
      </c>
      <c r="C228" s="15" t="s">
        <v>32</v>
      </c>
      <c r="D228" s="16" t="s">
        <v>276</v>
      </c>
      <c r="E228" s="15"/>
      <c r="F228" s="17">
        <v>1756.9</v>
      </c>
      <c r="G228" s="17">
        <v>302.89999999999998</v>
      </c>
      <c r="H228" s="18">
        <v>0.16800000000000001</v>
      </c>
      <c r="I228" s="19">
        <v>3.02</v>
      </c>
      <c r="J228" s="19">
        <v>2</v>
      </c>
      <c r="K228" s="19">
        <v>0.86</v>
      </c>
      <c r="L228" s="20">
        <v>26</v>
      </c>
      <c r="M228" s="28">
        <v>44.544320999999997</v>
      </c>
      <c r="N228" s="28">
        <v>11.382828</v>
      </c>
      <c r="O228" s="26">
        <f>IF(COUNTA(C228:N228),IF(LEFT(E$4,1)="C",ZenithAngle(M228,N228,D228,$I$4),L228),"---")</f>
        <v>26</v>
      </c>
      <c r="P228" s="26">
        <f t="shared" si="24"/>
        <v>0.86</v>
      </c>
      <c r="Q228" s="26">
        <f t="shared" si="26"/>
        <v>0.74952255320078087</v>
      </c>
      <c r="R228" s="26">
        <f t="shared" si="27"/>
        <v>0.17240594228470599</v>
      </c>
      <c r="S228" s="27">
        <f t="shared" si="28"/>
        <v>2.4485607412388042</v>
      </c>
      <c r="T228" s="2">
        <f t="shared" si="29"/>
        <v>0.82759405771529404</v>
      </c>
      <c r="U228" s="2">
        <f t="shared" si="30"/>
        <v>17.240594228470599</v>
      </c>
      <c r="V228" s="2">
        <f t="shared" si="25"/>
        <v>18.068188286185894</v>
      </c>
      <c r="W228" s="2">
        <v>0</v>
      </c>
      <c r="X228" s="2">
        <v>0</v>
      </c>
      <c r="Y228" s="2">
        <v>0</v>
      </c>
      <c r="Z228">
        <f t="shared" si="31"/>
        <v>0.20689851442882351</v>
      </c>
    </row>
    <row r="229" spans="1:26">
      <c r="A229" s="2" t="s">
        <v>13</v>
      </c>
      <c r="B229" s="2" t="s">
        <v>8</v>
      </c>
      <c r="C229" s="15" t="s">
        <v>32</v>
      </c>
      <c r="D229" s="16" t="s">
        <v>277</v>
      </c>
      <c r="E229" s="15"/>
      <c r="F229" s="17">
        <v>1761.1</v>
      </c>
      <c r="G229" s="17">
        <v>210.32499999999999</v>
      </c>
      <c r="H229" s="18">
        <v>0.16800000000000001</v>
      </c>
      <c r="I229" s="19">
        <v>3.02</v>
      </c>
      <c r="J229" s="19">
        <v>2</v>
      </c>
      <c r="K229" s="19">
        <v>0.86</v>
      </c>
      <c r="L229" s="20">
        <v>26</v>
      </c>
      <c r="M229" s="28">
        <v>44.544320999999997</v>
      </c>
      <c r="N229" s="28">
        <v>11.382828</v>
      </c>
      <c r="O229" s="26">
        <f>IF(COUNTA(C229:N229),IF(LEFT(E$4,1)="C",ZenithAngle(M229,N229,D229,$I$4),L229),"---")</f>
        <v>26</v>
      </c>
      <c r="P229" s="26">
        <f t="shared" si="24"/>
        <v>0.86</v>
      </c>
      <c r="Q229" s="26">
        <f t="shared" si="26"/>
        <v>0.74952255320078087</v>
      </c>
      <c r="R229" s="26">
        <f t="shared" si="27"/>
        <v>0.11942819828516268</v>
      </c>
      <c r="S229" s="27">
        <f t="shared" si="28"/>
        <v>2.9599403534999813</v>
      </c>
      <c r="T229" s="2">
        <f t="shared" si="29"/>
        <v>0.88057180171483729</v>
      </c>
      <c r="U229" s="2">
        <f t="shared" si="30"/>
        <v>11.942819828516269</v>
      </c>
      <c r="V229" s="2">
        <f t="shared" si="25"/>
        <v>12.823391630231106</v>
      </c>
      <c r="W229" s="2">
        <v>0</v>
      </c>
      <c r="X229" s="2">
        <v>0</v>
      </c>
      <c r="Y229" s="2">
        <v>0</v>
      </c>
      <c r="Z229">
        <f t="shared" si="31"/>
        <v>0.22014295042870932</v>
      </c>
    </row>
    <row r="230" spans="1:26">
      <c r="A230" s="2" t="s">
        <v>13</v>
      </c>
      <c r="B230" s="2" t="s">
        <v>8</v>
      </c>
      <c r="C230" s="15" t="s">
        <v>32</v>
      </c>
      <c r="D230" s="16" t="s">
        <v>278</v>
      </c>
      <c r="E230" s="15"/>
      <c r="F230" s="17">
        <v>1753.5</v>
      </c>
      <c r="G230" s="17">
        <v>190.51249999999999</v>
      </c>
      <c r="H230" s="18">
        <v>0.16800000000000001</v>
      </c>
      <c r="I230" s="19">
        <v>3.02</v>
      </c>
      <c r="J230" s="19">
        <v>2</v>
      </c>
      <c r="K230" s="19">
        <v>0.86</v>
      </c>
      <c r="L230" s="20">
        <v>26</v>
      </c>
      <c r="M230" s="28">
        <v>44.544320999999997</v>
      </c>
      <c r="N230" s="28">
        <v>11.382828</v>
      </c>
      <c r="O230" s="26">
        <f>IF(COUNTA(C230:N230),IF(LEFT(E$4,1)="C",ZenithAngle(M230,N230,D230,$I$4),L230),"---")</f>
        <v>26</v>
      </c>
      <c r="P230" s="26">
        <f t="shared" si="24"/>
        <v>0.86</v>
      </c>
      <c r="Q230" s="26">
        <f t="shared" si="26"/>
        <v>0.74952255320078087</v>
      </c>
      <c r="R230" s="26">
        <f t="shared" si="27"/>
        <v>0.10864699173082407</v>
      </c>
      <c r="S230" s="27">
        <f t="shared" si="28"/>
        <v>3.0917232257888556</v>
      </c>
      <c r="T230" s="2">
        <f t="shared" si="29"/>
        <v>0.89135300826917596</v>
      </c>
      <c r="U230" s="2">
        <f t="shared" si="30"/>
        <v>10.864699173082407</v>
      </c>
      <c r="V230" s="2">
        <f t="shared" si="25"/>
        <v>11.756052181351583</v>
      </c>
      <c r="W230" s="2">
        <v>0</v>
      </c>
      <c r="X230" s="2">
        <v>0</v>
      </c>
      <c r="Y230" s="2">
        <v>0</v>
      </c>
      <c r="Z230">
        <f t="shared" si="31"/>
        <v>0.22283825206729399</v>
      </c>
    </row>
    <row r="231" spans="1:26">
      <c r="A231" s="2" t="s">
        <v>13</v>
      </c>
      <c r="B231" s="2" t="s">
        <v>8</v>
      </c>
      <c r="C231" s="15" t="s">
        <v>32</v>
      </c>
      <c r="D231" s="16" t="s">
        <v>279</v>
      </c>
      <c r="E231" s="15"/>
      <c r="F231" s="17">
        <v>1746.9</v>
      </c>
      <c r="G231" s="17">
        <v>147.78749999999999</v>
      </c>
      <c r="H231" s="18">
        <v>0.16800000000000001</v>
      </c>
      <c r="I231" s="19">
        <v>3.02</v>
      </c>
      <c r="J231" s="19">
        <v>2</v>
      </c>
      <c r="K231" s="19">
        <v>0.86</v>
      </c>
      <c r="L231" s="20">
        <v>26</v>
      </c>
      <c r="M231" s="28">
        <v>44.544320999999997</v>
      </c>
      <c r="N231" s="28">
        <v>11.382828</v>
      </c>
      <c r="O231" s="26">
        <f>IF(COUNTA(C231:N231),IF(LEFT(E$4,1)="C",ZenithAngle(M231,N231,D231,$I$4),L231),"---")</f>
        <v>26</v>
      </c>
      <c r="P231" s="26">
        <f t="shared" si="24"/>
        <v>0.86</v>
      </c>
      <c r="Q231" s="26">
        <f t="shared" si="26"/>
        <v>0.74952255320078087</v>
      </c>
      <c r="R231" s="26">
        <f t="shared" si="27"/>
        <v>8.4599862613772961E-2</v>
      </c>
      <c r="S231" s="27">
        <f t="shared" si="28"/>
        <v>3.4401836651712316</v>
      </c>
      <c r="T231" s="2">
        <f t="shared" si="29"/>
        <v>0.91540013738622705</v>
      </c>
      <c r="U231" s="2">
        <f t="shared" si="30"/>
        <v>8.4599862613772956</v>
      </c>
      <c r="V231" s="2">
        <f t="shared" si="25"/>
        <v>9.3753863987635224</v>
      </c>
      <c r="W231" s="2">
        <v>0</v>
      </c>
      <c r="X231" s="2">
        <v>0</v>
      </c>
      <c r="Y231" s="2">
        <v>0</v>
      </c>
      <c r="Z231">
        <f t="shared" si="31"/>
        <v>0.22885003434655676</v>
      </c>
    </row>
    <row r="232" spans="1:26">
      <c r="A232" s="2" t="s">
        <v>13</v>
      </c>
      <c r="B232" s="2" t="s">
        <v>8</v>
      </c>
      <c r="C232" s="15" t="s">
        <v>32</v>
      </c>
      <c r="D232" s="16" t="s">
        <v>280</v>
      </c>
      <c r="E232" s="15"/>
      <c r="F232" s="17">
        <v>1725.4</v>
      </c>
      <c r="G232" s="17">
        <v>281.83750000000003</v>
      </c>
      <c r="H232" s="18">
        <v>0.16800000000000001</v>
      </c>
      <c r="I232" s="19">
        <v>3.02</v>
      </c>
      <c r="J232" s="19">
        <v>2</v>
      </c>
      <c r="K232" s="19">
        <v>0.86</v>
      </c>
      <c r="L232" s="20">
        <v>26</v>
      </c>
      <c r="M232" s="28">
        <v>44.544320999999997</v>
      </c>
      <c r="N232" s="28">
        <v>11.382828</v>
      </c>
      <c r="O232" s="26">
        <f>IF(COUNTA(C232:N232),IF(LEFT(E$4,1)="C",ZenithAngle(M232,N232,D232,$I$4),L232),"---")</f>
        <v>26</v>
      </c>
      <c r="P232" s="26">
        <f t="shared" si="24"/>
        <v>0.86</v>
      </c>
      <c r="Q232" s="26">
        <f t="shared" si="26"/>
        <v>0.74952255320078087</v>
      </c>
      <c r="R232" s="26">
        <f t="shared" si="27"/>
        <v>0.16334618059580389</v>
      </c>
      <c r="S232" s="27">
        <f t="shared" si="28"/>
        <v>2.523748874558311</v>
      </c>
      <c r="T232" s="2">
        <f t="shared" si="29"/>
        <v>0.83665381940419614</v>
      </c>
      <c r="U232" s="2">
        <f t="shared" si="30"/>
        <v>16.334618059580389</v>
      </c>
      <c r="V232" s="2">
        <f t="shared" si="25"/>
        <v>17.171271878984584</v>
      </c>
      <c r="W232" s="2">
        <v>0</v>
      </c>
      <c r="X232" s="2">
        <v>0</v>
      </c>
      <c r="Y232" s="2">
        <v>0</v>
      </c>
      <c r="Z232">
        <f t="shared" si="31"/>
        <v>0.20916345485104904</v>
      </c>
    </row>
    <row r="233" spans="1:26">
      <c r="A233" s="2" t="s">
        <v>13</v>
      </c>
      <c r="B233" s="2" t="s">
        <v>8</v>
      </c>
      <c r="C233" s="15" t="s">
        <v>32</v>
      </c>
      <c r="D233" s="16" t="s">
        <v>281</v>
      </c>
      <c r="E233" s="15"/>
      <c r="F233" s="17">
        <v>1741.1</v>
      </c>
      <c r="G233" s="17">
        <v>411.48750000000001</v>
      </c>
      <c r="H233" s="18">
        <v>0.16800000000000001</v>
      </c>
      <c r="I233" s="19">
        <v>3.02</v>
      </c>
      <c r="J233" s="19">
        <v>2</v>
      </c>
      <c r="K233" s="19">
        <v>0.86</v>
      </c>
      <c r="L233" s="20">
        <v>26</v>
      </c>
      <c r="M233" s="28">
        <v>44.544320999999997</v>
      </c>
      <c r="N233" s="28">
        <v>11.382828</v>
      </c>
      <c r="O233" s="26">
        <f>IF(COUNTA(C233:N233),IF(LEFT(E$4,1)="C",ZenithAngle(M233,N233,D233,$I$4),L233),"---")</f>
        <v>26</v>
      </c>
      <c r="P233" s="26">
        <f t="shared" si="24"/>
        <v>0.86</v>
      </c>
      <c r="Q233" s="26">
        <f t="shared" si="26"/>
        <v>0.74952255320078087</v>
      </c>
      <c r="R233" s="26">
        <f t="shared" si="27"/>
        <v>0.23633766009993684</v>
      </c>
      <c r="S233" s="27">
        <f t="shared" si="28"/>
        <v>2.0092306652844019</v>
      </c>
      <c r="T233" s="2">
        <f t="shared" si="29"/>
        <v>0.76366233990006316</v>
      </c>
      <c r="U233" s="2">
        <f t="shared" si="30"/>
        <v>23.633766009993685</v>
      </c>
      <c r="V233" s="2">
        <f t="shared" si="25"/>
        <v>24.397428349893747</v>
      </c>
      <c r="W233" s="2">
        <v>0</v>
      </c>
      <c r="X233" s="2">
        <v>0</v>
      </c>
      <c r="Y233" s="2">
        <v>0</v>
      </c>
      <c r="Z233">
        <f t="shared" si="31"/>
        <v>0.19091558497501579</v>
      </c>
    </row>
    <row r="234" spans="1:26">
      <c r="A234" s="2" t="s">
        <v>13</v>
      </c>
      <c r="B234" s="2" t="s">
        <v>8</v>
      </c>
      <c r="C234" s="15" t="s">
        <v>32</v>
      </c>
      <c r="D234" s="16" t="s">
        <v>282</v>
      </c>
      <c r="E234" s="15"/>
      <c r="F234" s="17">
        <v>1768.7</v>
      </c>
      <c r="G234" s="17">
        <v>170.42500000000001</v>
      </c>
      <c r="H234" s="18">
        <v>0.16800000000000001</v>
      </c>
      <c r="I234" s="19">
        <v>3.02</v>
      </c>
      <c r="J234" s="19">
        <v>2</v>
      </c>
      <c r="K234" s="19">
        <v>0.86</v>
      </c>
      <c r="L234" s="20">
        <v>26</v>
      </c>
      <c r="M234" s="28">
        <v>44.544320999999997</v>
      </c>
      <c r="N234" s="28">
        <v>11.382828</v>
      </c>
      <c r="O234" s="26">
        <f>IF(COUNTA(C234:N234),IF(LEFT(E$4,1)="C",ZenithAngle(M234,N234,D234,$I$4),L234),"---")</f>
        <v>26</v>
      </c>
      <c r="P234" s="26">
        <f t="shared" si="24"/>
        <v>0.86</v>
      </c>
      <c r="Q234" s="26">
        <f t="shared" si="26"/>
        <v>0.74952255320078087</v>
      </c>
      <c r="R234" s="26">
        <f t="shared" si="27"/>
        <v>9.6356080737264663E-2</v>
      </c>
      <c r="S234" s="27">
        <f t="shared" si="28"/>
        <v>3.2589441972743645</v>
      </c>
      <c r="T234" s="2">
        <f t="shared" si="29"/>
        <v>0.90364391926273535</v>
      </c>
      <c r="U234" s="2">
        <f t="shared" si="30"/>
        <v>9.6356080737264662</v>
      </c>
      <c r="V234" s="2">
        <f t="shared" si="25"/>
        <v>10.539251992989202</v>
      </c>
      <c r="W234" s="2">
        <v>0</v>
      </c>
      <c r="X234" s="2">
        <v>0</v>
      </c>
      <c r="Y234" s="2">
        <v>0</v>
      </c>
      <c r="Z234">
        <f t="shared" si="31"/>
        <v>0.22591097981568384</v>
      </c>
    </row>
    <row r="235" spans="1:26">
      <c r="A235" s="2" t="s">
        <v>13</v>
      </c>
      <c r="B235" s="2" t="s">
        <v>8</v>
      </c>
      <c r="C235" s="15" t="s">
        <v>32</v>
      </c>
      <c r="D235" s="16" t="s">
        <v>283</v>
      </c>
      <c r="E235" s="15"/>
      <c r="F235" s="17">
        <v>1727.3</v>
      </c>
      <c r="G235" s="17">
        <v>525.13750000000005</v>
      </c>
      <c r="H235" s="18">
        <v>0.16800000000000001</v>
      </c>
      <c r="I235" s="19">
        <v>3.02</v>
      </c>
      <c r="J235" s="19">
        <v>2</v>
      </c>
      <c r="K235" s="19">
        <v>0.86</v>
      </c>
      <c r="L235" s="20">
        <v>26</v>
      </c>
      <c r="M235" s="28">
        <v>44.544320999999997</v>
      </c>
      <c r="N235" s="28">
        <v>11.382828</v>
      </c>
      <c r="O235" s="26">
        <f>IF(COUNTA(C235:N235),IF(LEFT(E$4,1)="C",ZenithAngle(M235,N235,D235,$I$4),L235),"---")</f>
        <v>26</v>
      </c>
      <c r="P235" s="26">
        <f t="shared" si="24"/>
        <v>0.86</v>
      </c>
      <c r="Q235" s="26">
        <f t="shared" si="26"/>
        <v>0.74952255320078087</v>
      </c>
      <c r="R235" s="26">
        <f t="shared" si="27"/>
        <v>0.30402217333410531</v>
      </c>
      <c r="S235" s="27">
        <f t="shared" si="28"/>
        <v>1.6584472863682991</v>
      </c>
      <c r="T235" s="2">
        <f t="shared" si="29"/>
        <v>0.69597782666589469</v>
      </c>
      <c r="U235" s="2">
        <f t="shared" si="30"/>
        <v>30.40221733341053</v>
      </c>
      <c r="V235" s="2">
        <f t="shared" si="25"/>
        <v>31.098195160076425</v>
      </c>
      <c r="W235" s="2">
        <v>0</v>
      </c>
      <c r="X235" s="2">
        <v>0</v>
      </c>
      <c r="Y235" s="2">
        <v>0</v>
      </c>
      <c r="Z235">
        <f t="shared" si="31"/>
        <v>0.17399445666647367</v>
      </c>
    </row>
    <row r="236" spans="1:26">
      <c r="A236" s="2" t="s">
        <v>13</v>
      </c>
      <c r="B236" s="2" t="s">
        <v>8</v>
      </c>
      <c r="C236" s="15" t="s">
        <v>32</v>
      </c>
      <c r="D236" s="16" t="s">
        <v>284</v>
      </c>
      <c r="E236" s="15"/>
      <c r="F236" s="17">
        <v>1742.3</v>
      </c>
      <c r="G236" s="17">
        <v>393.49999999999994</v>
      </c>
      <c r="H236" s="18">
        <v>0.16800000000000001</v>
      </c>
      <c r="I236" s="19">
        <v>3.02</v>
      </c>
      <c r="J236" s="19">
        <v>2</v>
      </c>
      <c r="K236" s="19">
        <v>0.86</v>
      </c>
      <c r="L236" s="20">
        <v>26</v>
      </c>
      <c r="M236" s="28">
        <v>44.544320999999997</v>
      </c>
      <c r="N236" s="28">
        <v>11.382828</v>
      </c>
      <c r="O236" s="26">
        <f>IF(COUNTA(C236:N236),IF(LEFT(E$4,1)="C",ZenithAngle(M236,N236,D236,$I$4),L236),"---")</f>
        <v>26</v>
      </c>
      <c r="P236" s="26">
        <f t="shared" si="24"/>
        <v>0.86</v>
      </c>
      <c r="Q236" s="26">
        <f t="shared" si="26"/>
        <v>0.74952255320078087</v>
      </c>
      <c r="R236" s="26">
        <f t="shared" si="27"/>
        <v>0.2258508867588819</v>
      </c>
      <c r="S236" s="27">
        <f t="shared" si="28"/>
        <v>2.0724490075030366</v>
      </c>
      <c r="T236" s="2">
        <f t="shared" si="29"/>
        <v>0.77414911324111813</v>
      </c>
      <c r="U236" s="2">
        <f t="shared" si="30"/>
        <v>22.585088675888191</v>
      </c>
      <c r="V236" s="2">
        <f t="shared" si="25"/>
        <v>23.35923778912931</v>
      </c>
      <c r="W236" s="2">
        <v>0</v>
      </c>
      <c r="X236" s="2">
        <v>0</v>
      </c>
      <c r="Y236" s="2">
        <v>0</v>
      </c>
      <c r="Z236">
        <f t="shared" si="31"/>
        <v>0.19353727831027953</v>
      </c>
    </row>
    <row r="237" spans="1:26">
      <c r="A237" s="2" t="s">
        <v>13</v>
      </c>
      <c r="B237" s="2" t="s">
        <v>9</v>
      </c>
      <c r="C237" s="15" t="s">
        <v>32</v>
      </c>
      <c r="D237" s="16" t="s">
        <v>285</v>
      </c>
      <c r="E237" s="15"/>
      <c r="F237" s="17">
        <v>1701.8</v>
      </c>
      <c r="G237" s="17">
        <v>297.74999999999994</v>
      </c>
      <c r="H237" s="18">
        <v>0.157</v>
      </c>
      <c r="I237" s="19">
        <v>3.16</v>
      </c>
      <c r="J237" s="19">
        <v>2</v>
      </c>
      <c r="K237" s="19">
        <v>0.86</v>
      </c>
      <c r="L237" s="20">
        <v>26</v>
      </c>
      <c r="M237" s="28">
        <v>44.544320999999997</v>
      </c>
      <c r="N237" s="28">
        <v>11.382828</v>
      </c>
      <c r="O237" s="26">
        <f>IF(COUNTA(C237:N237),IF(LEFT(E$4,1)="C",ZenithAngle(M237,N237,D237,$I$4),L237),"---")</f>
        <v>26</v>
      </c>
      <c r="P237" s="26">
        <f t="shared" si="24"/>
        <v>0.86</v>
      </c>
      <c r="Q237" s="26">
        <f t="shared" si="26"/>
        <v>0.74952255320078087</v>
      </c>
      <c r="R237" s="26">
        <f t="shared" si="27"/>
        <v>0.17496180514749085</v>
      </c>
      <c r="S237" s="27">
        <f t="shared" si="28"/>
        <v>2.4280632008443401</v>
      </c>
      <c r="T237" s="2">
        <f t="shared" si="29"/>
        <v>0.82503819485250918</v>
      </c>
      <c r="U237" s="2">
        <f t="shared" si="30"/>
        <v>17.496180514749085</v>
      </c>
      <c r="V237" s="2">
        <f t="shared" si="25"/>
        <v>18.321218709601595</v>
      </c>
      <c r="W237" s="2">
        <v>0</v>
      </c>
      <c r="X237" s="2">
        <v>0</v>
      </c>
      <c r="Y237" s="2">
        <v>0</v>
      </c>
      <c r="Z237">
        <f t="shared" si="31"/>
        <v>0.20625954871312729</v>
      </c>
    </row>
    <row r="238" spans="1:26">
      <c r="A238" s="2" t="s">
        <v>13</v>
      </c>
      <c r="B238" s="2" t="s">
        <v>9</v>
      </c>
      <c r="C238" s="15" t="s">
        <v>32</v>
      </c>
      <c r="D238" s="16" t="s">
        <v>286</v>
      </c>
      <c r="E238" s="15"/>
      <c r="F238" s="17">
        <v>1705.7</v>
      </c>
      <c r="G238" s="17">
        <v>183.3</v>
      </c>
      <c r="H238" s="18">
        <v>0.157</v>
      </c>
      <c r="I238" s="19">
        <v>3.16</v>
      </c>
      <c r="J238" s="19">
        <v>2</v>
      </c>
      <c r="K238" s="19">
        <v>0.86</v>
      </c>
      <c r="L238" s="20">
        <v>26</v>
      </c>
      <c r="M238" s="28">
        <v>44.544320999999997</v>
      </c>
      <c r="N238" s="28">
        <v>11.382828</v>
      </c>
      <c r="O238" s="26">
        <f>IF(COUNTA(C238:N238),IF(LEFT(E$4,1)="C",ZenithAngle(M238,N238,D238,$I$4),L238),"---")</f>
        <v>26</v>
      </c>
      <c r="P238" s="26">
        <f t="shared" si="24"/>
        <v>0.86</v>
      </c>
      <c r="Q238" s="26">
        <f t="shared" si="26"/>
        <v>0.74952255320078087</v>
      </c>
      <c r="R238" s="26">
        <f t="shared" si="27"/>
        <v>0.10746321158468665</v>
      </c>
      <c r="S238" s="27">
        <f t="shared" si="28"/>
        <v>3.106982925311021</v>
      </c>
      <c r="T238" s="2">
        <f t="shared" si="29"/>
        <v>0.89253678841531336</v>
      </c>
      <c r="U238" s="2">
        <f t="shared" si="30"/>
        <v>10.746321158468666</v>
      </c>
      <c r="V238" s="2">
        <f t="shared" si="25"/>
        <v>11.638857946883979</v>
      </c>
      <c r="W238" s="2">
        <v>0</v>
      </c>
      <c r="X238" s="2">
        <v>0</v>
      </c>
      <c r="Y238" s="2">
        <v>0</v>
      </c>
      <c r="Z238">
        <f t="shared" si="31"/>
        <v>0.22313419710382834</v>
      </c>
    </row>
    <row r="239" spans="1:26">
      <c r="A239" s="2" t="s">
        <v>13</v>
      </c>
      <c r="B239" s="2" t="s">
        <v>9</v>
      </c>
      <c r="C239" s="15" t="s">
        <v>32</v>
      </c>
      <c r="D239" s="16" t="s">
        <v>287</v>
      </c>
      <c r="E239" s="15"/>
      <c r="F239" s="17">
        <v>1686.5</v>
      </c>
      <c r="G239" s="17">
        <v>325.28750000000002</v>
      </c>
      <c r="H239" s="18">
        <v>0.157</v>
      </c>
      <c r="I239" s="19">
        <v>3.16</v>
      </c>
      <c r="J239" s="19">
        <v>2</v>
      </c>
      <c r="K239" s="19">
        <v>0.86</v>
      </c>
      <c r="L239" s="20">
        <v>26</v>
      </c>
      <c r="M239" s="28">
        <v>44.544320999999997</v>
      </c>
      <c r="N239" s="28">
        <v>11.382828</v>
      </c>
      <c r="O239" s="26">
        <f>IF(COUNTA(C239:N239),IF(LEFT(E$4,1)="C",ZenithAngle(M239,N239,D239,$I$4),L239),"---")</f>
        <v>26</v>
      </c>
      <c r="P239" s="26">
        <f t="shared" si="24"/>
        <v>0.86</v>
      </c>
      <c r="Q239" s="26">
        <f t="shared" si="26"/>
        <v>0.74952255320078087</v>
      </c>
      <c r="R239" s="26">
        <f t="shared" si="27"/>
        <v>0.19287726059887342</v>
      </c>
      <c r="S239" s="27">
        <f t="shared" si="28"/>
        <v>2.2922757558672906</v>
      </c>
      <c r="T239" s="2">
        <f t="shared" si="29"/>
        <v>0.80712273940112655</v>
      </c>
      <c r="U239" s="2">
        <f t="shared" si="30"/>
        <v>19.287726059887341</v>
      </c>
      <c r="V239" s="2">
        <f t="shared" si="25"/>
        <v>20.094848799288467</v>
      </c>
      <c r="W239" s="2">
        <v>0</v>
      </c>
      <c r="X239" s="2">
        <v>0</v>
      </c>
      <c r="Y239" s="2">
        <v>0</v>
      </c>
      <c r="Z239">
        <f t="shared" si="31"/>
        <v>0.20178068485028164</v>
      </c>
    </row>
    <row r="240" spans="1:26">
      <c r="A240" s="2" t="s">
        <v>13</v>
      </c>
      <c r="B240" s="2" t="s">
        <v>9</v>
      </c>
      <c r="C240" s="15" t="s">
        <v>32</v>
      </c>
      <c r="D240" s="16" t="s">
        <v>288</v>
      </c>
      <c r="E240" s="15"/>
      <c r="F240" s="17">
        <v>1739.1</v>
      </c>
      <c r="G240" s="17">
        <v>494.0625</v>
      </c>
      <c r="H240" s="18">
        <v>0.157</v>
      </c>
      <c r="I240" s="19">
        <v>3.16</v>
      </c>
      <c r="J240" s="19">
        <v>2</v>
      </c>
      <c r="K240" s="19">
        <v>0.86</v>
      </c>
      <c r="L240" s="20">
        <v>26</v>
      </c>
      <c r="M240" s="28">
        <v>44.544320999999997</v>
      </c>
      <c r="N240" s="28">
        <v>11.382828</v>
      </c>
      <c r="O240" s="26">
        <f>IF(COUNTA(C240:N240),IF(LEFT(E$4,1)="C",ZenithAngle(M240,N240,D240,$I$4),L240),"---")</f>
        <v>26</v>
      </c>
      <c r="P240" s="26">
        <f t="shared" si="24"/>
        <v>0.86</v>
      </c>
      <c r="Q240" s="26">
        <f t="shared" si="26"/>
        <v>0.74952255320078087</v>
      </c>
      <c r="R240" s="26">
        <f t="shared" si="27"/>
        <v>0.28409090909090912</v>
      </c>
      <c r="S240" s="27">
        <f t="shared" si="28"/>
        <v>1.7528938621110024</v>
      </c>
      <c r="T240" s="2">
        <f t="shared" si="29"/>
        <v>0.71590909090909083</v>
      </c>
      <c r="U240" s="2">
        <f t="shared" si="30"/>
        <v>28.40909090909091</v>
      </c>
      <c r="V240" s="2">
        <f t="shared" si="25"/>
        <v>29.125</v>
      </c>
      <c r="W240" s="2">
        <v>0</v>
      </c>
      <c r="X240" s="2">
        <v>0</v>
      </c>
      <c r="Y240" s="2">
        <v>0</v>
      </c>
      <c r="Z240">
        <f t="shared" si="31"/>
        <v>0.17897727272727271</v>
      </c>
    </row>
    <row r="241" spans="1:26">
      <c r="A241" s="2" t="s">
        <v>13</v>
      </c>
      <c r="B241" s="2" t="s">
        <v>9</v>
      </c>
      <c r="C241" s="15" t="s">
        <v>32</v>
      </c>
      <c r="D241" s="16" t="s">
        <v>289</v>
      </c>
      <c r="E241" s="15"/>
      <c r="F241" s="17">
        <v>1671</v>
      </c>
      <c r="G241" s="17">
        <v>276.1875</v>
      </c>
      <c r="H241" s="18">
        <v>0.157</v>
      </c>
      <c r="I241" s="19">
        <v>3.16</v>
      </c>
      <c r="J241" s="19">
        <v>2</v>
      </c>
      <c r="K241" s="19">
        <v>0.86</v>
      </c>
      <c r="L241" s="20">
        <v>26</v>
      </c>
      <c r="M241" s="28">
        <v>44.544320999999997</v>
      </c>
      <c r="N241" s="28">
        <v>11.382828</v>
      </c>
      <c r="O241" s="26">
        <f>IF(COUNTA(C241:N241),IF(LEFT(E$4,1)="C",ZenithAngle(M241,N241,D241,$I$4),L241),"---")</f>
        <v>26</v>
      </c>
      <c r="P241" s="26">
        <f t="shared" si="24"/>
        <v>0.86</v>
      </c>
      <c r="Q241" s="26">
        <f t="shared" si="26"/>
        <v>0.74952255320078087</v>
      </c>
      <c r="R241" s="26">
        <f t="shared" si="27"/>
        <v>0.16528276481149012</v>
      </c>
      <c r="S241" s="27">
        <f t="shared" si="28"/>
        <v>2.5073323409446564</v>
      </c>
      <c r="T241" s="2">
        <f t="shared" si="29"/>
        <v>0.83471723518850993</v>
      </c>
      <c r="U241" s="2">
        <f t="shared" si="30"/>
        <v>16.528276481149014</v>
      </c>
      <c r="V241" s="2">
        <f t="shared" si="25"/>
        <v>17.362993716337524</v>
      </c>
      <c r="W241" s="2">
        <v>0</v>
      </c>
      <c r="X241" s="2">
        <v>0</v>
      </c>
      <c r="Y241" s="2">
        <v>0</v>
      </c>
      <c r="Z241">
        <f t="shared" si="31"/>
        <v>0.20867930879712748</v>
      </c>
    </row>
    <row r="242" spans="1:26">
      <c r="A242" s="2" t="s">
        <v>13</v>
      </c>
      <c r="B242" s="2" t="s">
        <v>9</v>
      </c>
      <c r="C242" s="15" t="s">
        <v>32</v>
      </c>
      <c r="D242" s="16" t="s">
        <v>290</v>
      </c>
      <c r="E242" s="15"/>
      <c r="F242" s="17">
        <v>1694.3</v>
      </c>
      <c r="G242" s="17">
        <v>195.57499999999996</v>
      </c>
      <c r="H242" s="18">
        <v>0.157</v>
      </c>
      <c r="I242" s="19">
        <v>3.16</v>
      </c>
      <c r="J242" s="19">
        <v>2</v>
      </c>
      <c r="K242" s="19">
        <v>0.86</v>
      </c>
      <c r="L242" s="20">
        <v>26</v>
      </c>
      <c r="M242" s="28">
        <v>44.544320999999997</v>
      </c>
      <c r="N242" s="28">
        <v>11.382828</v>
      </c>
      <c r="O242" s="26">
        <f>IF(COUNTA(C242:N242),IF(LEFT(E$4,1)="C",ZenithAngle(M242,N242,D242,$I$4),L242),"---")</f>
        <v>26</v>
      </c>
      <c r="P242" s="26">
        <f t="shared" si="24"/>
        <v>0.86</v>
      </c>
      <c r="Q242" s="26">
        <f t="shared" si="26"/>
        <v>0.74952255320078087</v>
      </c>
      <c r="R242" s="26">
        <f t="shared" si="27"/>
        <v>0.11543115150799738</v>
      </c>
      <c r="S242" s="27">
        <f t="shared" si="28"/>
        <v>3.0073557263875559</v>
      </c>
      <c r="T242" s="2">
        <f t="shared" si="29"/>
        <v>0.88456884849200268</v>
      </c>
      <c r="U242" s="2">
        <f t="shared" si="30"/>
        <v>11.543115150799737</v>
      </c>
      <c r="V242" s="2">
        <f t="shared" si="25"/>
        <v>12.427683999291741</v>
      </c>
      <c r="W242" s="2">
        <v>0</v>
      </c>
      <c r="X242" s="2">
        <v>0</v>
      </c>
      <c r="Y242" s="2">
        <v>0</v>
      </c>
      <c r="Z242">
        <f t="shared" si="31"/>
        <v>0.22114221212300067</v>
      </c>
    </row>
    <row r="243" spans="1:26">
      <c r="A243" s="2" t="s">
        <v>13</v>
      </c>
      <c r="B243" s="2" t="s">
        <v>9</v>
      </c>
      <c r="C243" s="15" t="s">
        <v>32</v>
      </c>
      <c r="D243" s="16" t="s">
        <v>291</v>
      </c>
      <c r="E243" s="15"/>
      <c r="F243" s="17">
        <v>1711.6</v>
      </c>
      <c r="G243" s="17">
        <v>117.58750000000001</v>
      </c>
      <c r="H243" s="18">
        <v>0.157</v>
      </c>
      <c r="I243" s="19">
        <v>3.16</v>
      </c>
      <c r="J243" s="19">
        <v>2</v>
      </c>
      <c r="K243" s="19">
        <v>0.86</v>
      </c>
      <c r="L243" s="20">
        <v>26</v>
      </c>
      <c r="M243" s="28">
        <v>44.544320999999997</v>
      </c>
      <c r="N243" s="28">
        <v>11.382828</v>
      </c>
      <c r="O243" s="26">
        <f>IF(COUNTA(C243:N243),IF(LEFT(E$4,1)="C",ZenithAngle(M243,N243,D243,$I$4),L243),"---")</f>
        <v>26</v>
      </c>
      <c r="P243" s="26">
        <f t="shared" si="24"/>
        <v>0.86</v>
      </c>
      <c r="Q243" s="26">
        <f t="shared" si="26"/>
        <v>0.74952255320078087</v>
      </c>
      <c r="R243" s="26">
        <f t="shared" si="27"/>
        <v>6.8700338864220625E-2</v>
      </c>
      <c r="S243" s="27">
        <f t="shared" si="28"/>
        <v>3.7301527917730737</v>
      </c>
      <c r="T243" s="2">
        <f t="shared" si="29"/>
        <v>0.93129966113577933</v>
      </c>
      <c r="U243" s="2">
        <f t="shared" si="30"/>
        <v>6.8700338864220623</v>
      </c>
      <c r="V243" s="2">
        <f t="shared" si="25"/>
        <v>7.8013335475578414</v>
      </c>
      <c r="W243" s="2">
        <v>0</v>
      </c>
      <c r="X243" s="2">
        <v>0</v>
      </c>
      <c r="Y243" s="2">
        <v>0</v>
      </c>
      <c r="Z243">
        <f t="shared" si="31"/>
        <v>0.23282491528394483</v>
      </c>
    </row>
    <row r="244" spans="1:26">
      <c r="A244" s="2" t="s">
        <v>13</v>
      </c>
      <c r="B244" s="2" t="s">
        <v>9</v>
      </c>
      <c r="C244" s="15" t="s">
        <v>32</v>
      </c>
      <c r="D244" s="16" t="s">
        <v>292</v>
      </c>
      <c r="E244" s="15"/>
      <c r="F244" s="17">
        <v>1689.4</v>
      </c>
      <c r="G244" s="17">
        <v>216.03749999999999</v>
      </c>
      <c r="H244" s="18">
        <v>0.157</v>
      </c>
      <c r="I244" s="19">
        <v>3.16</v>
      </c>
      <c r="J244" s="19">
        <v>2</v>
      </c>
      <c r="K244" s="19">
        <v>0.86</v>
      </c>
      <c r="L244" s="20">
        <v>26</v>
      </c>
      <c r="M244" s="28">
        <v>44.544320999999997</v>
      </c>
      <c r="N244" s="28">
        <v>11.382828</v>
      </c>
      <c r="O244" s="26">
        <f>IF(COUNTA(C244:N244),IF(LEFT(E$4,1)="C",ZenithAngle(M244,N244,D244,$I$4),L244),"---")</f>
        <v>26</v>
      </c>
      <c r="P244" s="26">
        <f t="shared" si="24"/>
        <v>0.86</v>
      </c>
      <c r="Q244" s="26">
        <f t="shared" si="26"/>
        <v>0.74952255320078087</v>
      </c>
      <c r="R244" s="26">
        <f t="shared" si="27"/>
        <v>0.12787824079554871</v>
      </c>
      <c r="S244" s="27">
        <f t="shared" si="28"/>
        <v>2.8647181071296313</v>
      </c>
      <c r="T244" s="2">
        <f t="shared" si="29"/>
        <v>0.87212175920445123</v>
      </c>
      <c r="U244" s="2">
        <f t="shared" si="30"/>
        <v>12.787824079554872</v>
      </c>
      <c r="V244" s="2">
        <f t="shared" si="25"/>
        <v>13.659945838759324</v>
      </c>
      <c r="W244" s="2">
        <v>0</v>
      </c>
      <c r="X244" s="2">
        <v>0</v>
      </c>
      <c r="Y244" s="2">
        <v>0</v>
      </c>
      <c r="Z244">
        <f t="shared" si="31"/>
        <v>0.21803043980111281</v>
      </c>
    </row>
    <row r="245" spans="1:26">
      <c r="A245" s="2" t="s">
        <v>13</v>
      </c>
      <c r="B245" s="2" t="s">
        <v>9</v>
      </c>
      <c r="C245" s="15" t="s">
        <v>32</v>
      </c>
      <c r="D245" s="16" t="s">
        <v>293</v>
      </c>
      <c r="E245" s="15"/>
      <c r="F245" s="17">
        <v>1757.4</v>
      </c>
      <c r="G245" s="17">
        <v>322.77500000000003</v>
      </c>
      <c r="H245" s="18">
        <v>0.157</v>
      </c>
      <c r="I245" s="19">
        <v>3.16</v>
      </c>
      <c r="J245" s="19">
        <v>2</v>
      </c>
      <c r="K245" s="19">
        <v>0.86</v>
      </c>
      <c r="L245" s="20">
        <v>26</v>
      </c>
      <c r="M245" s="28">
        <v>44.544320999999997</v>
      </c>
      <c r="N245" s="28">
        <v>11.382828</v>
      </c>
      <c r="O245" s="26">
        <f>IF(COUNTA(C245:N245),IF(LEFT(E$4,1)="C",ZenithAngle(M245,N245,D245,$I$4),L245),"---")</f>
        <v>26</v>
      </c>
      <c r="P245" s="26">
        <f t="shared" si="24"/>
        <v>0.86</v>
      </c>
      <c r="Q245" s="26">
        <f t="shared" si="26"/>
        <v>0.74952255320078087</v>
      </c>
      <c r="R245" s="26">
        <f t="shared" si="27"/>
        <v>0.1836662114487311</v>
      </c>
      <c r="S245" s="27">
        <f t="shared" si="28"/>
        <v>2.3604352697309783</v>
      </c>
      <c r="T245" s="2">
        <f t="shared" si="29"/>
        <v>0.81633378855126892</v>
      </c>
      <c r="U245" s="2">
        <f t="shared" si="30"/>
        <v>18.366621144873111</v>
      </c>
      <c r="V245" s="2">
        <f t="shared" si="25"/>
        <v>19.18295493342438</v>
      </c>
      <c r="W245" s="2">
        <v>0</v>
      </c>
      <c r="X245" s="2">
        <v>0</v>
      </c>
      <c r="Y245" s="2">
        <v>0</v>
      </c>
      <c r="Z245">
        <f t="shared" si="31"/>
        <v>0.20408344713781723</v>
      </c>
    </row>
    <row r="246" spans="1:26">
      <c r="A246" s="2" t="s">
        <v>13</v>
      </c>
      <c r="B246" s="2" t="s">
        <v>9</v>
      </c>
      <c r="C246" s="15" t="s">
        <v>32</v>
      </c>
      <c r="D246" s="16" t="s">
        <v>294</v>
      </c>
      <c r="E246" s="15"/>
      <c r="F246" s="17">
        <v>1757.3</v>
      </c>
      <c r="G246" s="17">
        <v>266.97500000000002</v>
      </c>
      <c r="H246" s="18">
        <v>0.157</v>
      </c>
      <c r="I246" s="19">
        <v>3.16</v>
      </c>
      <c r="J246" s="19">
        <v>2</v>
      </c>
      <c r="K246" s="19">
        <v>0.86</v>
      </c>
      <c r="L246" s="20">
        <v>26</v>
      </c>
      <c r="M246" s="28">
        <v>44.544320999999997</v>
      </c>
      <c r="N246" s="28">
        <v>11.382828</v>
      </c>
      <c r="O246" s="26">
        <f>IF(COUNTA(C246:N246),IF(LEFT(E$4,1)="C",ZenithAngle(M246,N246,D246,$I$4),L246),"---")</f>
        <v>26</v>
      </c>
      <c r="P246" s="26">
        <f t="shared" si="24"/>
        <v>0.86</v>
      </c>
      <c r="Q246" s="26">
        <f t="shared" si="26"/>
        <v>0.74952255320078087</v>
      </c>
      <c r="R246" s="26">
        <f t="shared" si="27"/>
        <v>0.15192340522392309</v>
      </c>
      <c r="S246" s="27">
        <f t="shared" si="28"/>
        <v>2.6247265957611736</v>
      </c>
      <c r="T246" s="2">
        <f t="shared" si="29"/>
        <v>0.84807659477607689</v>
      </c>
      <c r="U246" s="2">
        <f t="shared" si="30"/>
        <v>15.192340522392309</v>
      </c>
      <c r="V246" s="2">
        <f t="shared" si="25"/>
        <v>16.040417117168385</v>
      </c>
      <c r="W246" s="2">
        <v>0</v>
      </c>
      <c r="X246" s="2">
        <v>0</v>
      </c>
      <c r="Y246" s="2">
        <v>0</v>
      </c>
      <c r="Z246">
        <f t="shared" si="31"/>
        <v>0.21201914869401922</v>
      </c>
    </row>
    <row r="247" spans="1:26">
      <c r="A247" s="2" t="s">
        <v>13</v>
      </c>
      <c r="B247" s="2" t="s">
        <v>10</v>
      </c>
      <c r="C247" s="15" t="s">
        <v>32</v>
      </c>
      <c r="D247" s="16" t="s">
        <v>295</v>
      </c>
      <c r="E247" s="15"/>
      <c r="F247" s="17">
        <v>1725.6</v>
      </c>
      <c r="G247" s="17">
        <v>145.36250000000001</v>
      </c>
      <c r="H247" s="18">
        <v>0.127</v>
      </c>
      <c r="I247" s="19">
        <v>3.51</v>
      </c>
      <c r="J247" s="19">
        <v>2</v>
      </c>
      <c r="K247" s="19">
        <v>0.85</v>
      </c>
      <c r="L247" s="20">
        <v>26</v>
      </c>
      <c r="M247" s="28">
        <v>44.544320999999997</v>
      </c>
      <c r="N247" s="28">
        <v>11.382828</v>
      </c>
      <c r="O247" s="26">
        <f>IF(COUNTA(C247:N247),IF(LEFT(E$4,1)="C",ZenithAngle(M247,N247,D247,$I$4),L247),"---")</f>
        <v>26</v>
      </c>
      <c r="P247" s="26">
        <f t="shared" si="24"/>
        <v>0.85</v>
      </c>
      <c r="Q247" s="26">
        <f t="shared" si="26"/>
        <v>0.74952255320078087</v>
      </c>
      <c r="R247" s="26">
        <f t="shared" si="27"/>
        <v>8.4238815484469182E-2</v>
      </c>
      <c r="S247" s="27">
        <f t="shared" si="28"/>
        <v>3.4351174236800515</v>
      </c>
      <c r="T247" s="2">
        <f t="shared" si="29"/>
        <v>0.91576118451553079</v>
      </c>
      <c r="U247" s="2">
        <f t="shared" si="30"/>
        <v>8.4238815484469178</v>
      </c>
      <c r="V247" s="2">
        <f t="shared" si="25"/>
        <v>9.3396427329624494</v>
      </c>
      <c r="W247" s="2">
        <v>0</v>
      </c>
      <c r="X247" s="2">
        <v>0</v>
      </c>
      <c r="Y247" s="2">
        <v>0</v>
      </c>
      <c r="Z247">
        <f t="shared" si="31"/>
        <v>0.2289402961288827</v>
      </c>
    </row>
    <row r="248" spans="1:26">
      <c r="A248" s="2" t="s">
        <v>13</v>
      </c>
      <c r="B248" s="2" t="s">
        <v>10</v>
      </c>
      <c r="C248" s="15" t="s">
        <v>32</v>
      </c>
      <c r="D248" s="16" t="s">
        <v>296</v>
      </c>
      <c r="E248" s="15"/>
      <c r="F248" s="17">
        <v>1725.6</v>
      </c>
      <c r="G248" s="17">
        <v>137.5</v>
      </c>
      <c r="H248" s="18">
        <v>0.127</v>
      </c>
      <c r="I248" s="19">
        <v>3.51</v>
      </c>
      <c r="J248" s="19">
        <v>2</v>
      </c>
      <c r="K248" s="19">
        <v>0.85</v>
      </c>
      <c r="L248" s="20">
        <v>26</v>
      </c>
      <c r="M248" s="28">
        <v>44.544320999999997</v>
      </c>
      <c r="N248" s="28">
        <v>11.382828</v>
      </c>
      <c r="O248" s="26">
        <f>IF(COUNTA(C248:N248),IF(LEFT(E$4,1)="C",ZenithAngle(M248,N248,D248,$I$4),L248),"---")</f>
        <v>26</v>
      </c>
      <c r="P248" s="26">
        <f t="shared" si="24"/>
        <v>0.85</v>
      </c>
      <c r="Q248" s="26">
        <f t="shared" si="26"/>
        <v>0.74952255320078087</v>
      </c>
      <c r="R248" s="26">
        <f t="shared" si="27"/>
        <v>7.9682429299953644E-2</v>
      </c>
      <c r="S248" s="27">
        <f t="shared" si="28"/>
        <v>3.5123235203249665</v>
      </c>
      <c r="T248" s="2">
        <f t="shared" si="29"/>
        <v>0.92031757070004638</v>
      </c>
      <c r="U248" s="2">
        <f t="shared" si="30"/>
        <v>7.9682429299953643</v>
      </c>
      <c r="V248" s="2">
        <f t="shared" si="25"/>
        <v>8.8885605006954105</v>
      </c>
      <c r="W248" s="2">
        <v>0</v>
      </c>
      <c r="X248" s="2">
        <v>0</v>
      </c>
      <c r="Y248" s="2">
        <v>0</v>
      </c>
      <c r="Z248">
        <f t="shared" si="31"/>
        <v>0.2300793926750116</v>
      </c>
    </row>
    <row r="249" spans="1:26">
      <c r="A249" s="2" t="s">
        <v>13</v>
      </c>
      <c r="B249" s="2" t="s">
        <v>10</v>
      </c>
      <c r="C249" s="15" t="s">
        <v>32</v>
      </c>
      <c r="D249" s="16" t="s">
        <v>297</v>
      </c>
      <c r="E249" s="15"/>
      <c r="F249" s="17">
        <v>1723.3</v>
      </c>
      <c r="G249" s="17">
        <v>202.47499999999999</v>
      </c>
      <c r="H249" s="18">
        <v>0.127</v>
      </c>
      <c r="I249" s="19">
        <v>3.51</v>
      </c>
      <c r="J249" s="19">
        <v>2</v>
      </c>
      <c r="K249" s="19">
        <v>0.85</v>
      </c>
      <c r="L249" s="20">
        <v>26</v>
      </c>
      <c r="M249" s="28">
        <v>44.544320999999997</v>
      </c>
      <c r="N249" s="28">
        <v>11.382828</v>
      </c>
      <c r="O249" s="26">
        <f>IF(COUNTA(C249:N249),IF(LEFT(E$4,1)="C",ZenithAngle(M249,N249,D249,$I$4),L249),"---")</f>
        <v>26</v>
      </c>
      <c r="P249" s="26">
        <f t="shared" si="24"/>
        <v>0.85</v>
      </c>
      <c r="Q249" s="26">
        <f t="shared" si="26"/>
        <v>0.74952255320078087</v>
      </c>
      <c r="R249" s="26">
        <f t="shared" si="27"/>
        <v>0.11749260140428248</v>
      </c>
      <c r="S249" s="27">
        <f t="shared" si="28"/>
        <v>2.9731591375839992</v>
      </c>
      <c r="T249" s="2">
        <f t="shared" si="29"/>
        <v>0.88250739859571747</v>
      </c>
      <c r="U249" s="2">
        <f t="shared" si="30"/>
        <v>11.749260140428248</v>
      </c>
      <c r="V249" s="2">
        <f t="shared" si="25"/>
        <v>12.631767539023965</v>
      </c>
      <c r="W249" s="2">
        <v>0</v>
      </c>
      <c r="X249" s="2">
        <v>0</v>
      </c>
      <c r="Y249" s="2">
        <v>0</v>
      </c>
      <c r="Z249">
        <f t="shared" si="31"/>
        <v>0.22062684964892937</v>
      </c>
    </row>
    <row r="250" spans="1:26">
      <c r="A250" s="2" t="s">
        <v>13</v>
      </c>
      <c r="B250" s="2" t="s">
        <v>10</v>
      </c>
      <c r="C250" s="15" t="s">
        <v>32</v>
      </c>
      <c r="D250" s="16" t="s">
        <v>298</v>
      </c>
      <c r="E250" s="15"/>
      <c r="F250" s="17">
        <v>1712.7</v>
      </c>
      <c r="G250" s="17">
        <v>371.41250000000002</v>
      </c>
      <c r="H250" s="18">
        <v>0.127</v>
      </c>
      <c r="I250" s="19">
        <v>3.51</v>
      </c>
      <c r="J250" s="19">
        <v>2</v>
      </c>
      <c r="K250" s="19">
        <v>0.85</v>
      </c>
      <c r="L250" s="20">
        <v>26</v>
      </c>
      <c r="M250" s="28">
        <v>44.544320999999997</v>
      </c>
      <c r="N250" s="28">
        <v>11.382828</v>
      </c>
      <c r="O250" s="26">
        <f>IF(COUNTA(C250:N250),IF(LEFT(E$4,1)="C",ZenithAngle(M250,N250,D250,$I$4),L250),"---")</f>
        <v>26</v>
      </c>
      <c r="P250" s="26">
        <f t="shared" si="24"/>
        <v>0.85</v>
      </c>
      <c r="Q250" s="26">
        <f t="shared" si="26"/>
        <v>0.74952255320078087</v>
      </c>
      <c r="R250" s="26">
        <f t="shared" si="27"/>
        <v>0.21685788521048638</v>
      </c>
      <c r="S250" s="27">
        <f t="shared" si="28"/>
        <v>2.122235527720437</v>
      </c>
      <c r="T250" s="2">
        <f t="shared" si="29"/>
        <v>0.78314211478951368</v>
      </c>
      <c r="U250" s="2">
        <f t="shared" si="30"/>
        <v>21.685788521048639</v>
      </c>
      <c r="V250" s="2">
        <f t="shared" si="25"/>
        <v>22.468930635838152</v>
      </c>
      <c r="W250" s="2">
        <v>0</v>
      </c>
      <c r="X250" s="2">
        <v>0</v>
      </c>
      <c r="Y250" s="2">
        <v>0</v>
      </c>
      <c r="Z250">
        <f t="shared" si="31"/>
        <v>0.19578552869737842</v>
      </c>
    </row>
    <row r="251" spans="1:26">
      <c r="A251" s="2" t="s">
        <v>13</v>
      </c>
      <c r="B251" s="2" t="s">
        <v>10</v>
      </c>
      <c r="C251" s="15" t="s">
        <v>32</v>
      </c>
      <c r="D251" s="16" t="s">
        <v>299</v>
      </c>
      <c r="E251" s="15"/>
      <c r="F251" s="17">
        <v>1667.3</v>
      </c>
      <c r="G251" s="17">
        <v>157.68749999999997</v>
      </c>
      <c r="H251" s="18">
        <v>0.127</v>
      </c>
      <c r="I251" s="19">
        <v>3.51</v>
      </c>
      <c r="J251" s="19">
        <v>2</v>
      </c>
      <c r="K251" s="19">
        <v>0.85</v>
      </c>
      <c r="L251" s="20">
        <v>26</v>
      </c>
      <c r="M251" s="28">
        <v>44.544320999999997</v>
      </c>
      <c r="N251" s="28">
        <v>11.382828</v>
      </c>
      <c r="O251" s="26">
        <f>IF(COUNTA(C251:N251),IF(LEFT(E$4,1)="C",ZenithAngle(M251,N251,D251,$I$4),L251),"---")</f>
        <v>26</v>
      </c>
      <c r="P251" s="26">
        <f t="shared" si="24"/>
        <v>0.85</v>
      </c>
      <c r="Q251" s="26">
        <f t="shared" si="26"/>
        <v>0.74952255320078087</v>
      </c>
      <c r="R251" s="26">
        <f t="shared" si="27"/>
        <v>9.4576560906855386E-2</v>
      </c>
      <c r="S251" s="27">
        <f t="shared" si="28"/>
        <v>3.2744011168983813</v>
      </c>
      <c r="T251" s="2">
        <f t="shared" si="29"/>
        <v>0.9054234390931446</v>
      </c>
      <c r="U251" s="2">
        <f t="shared" si="30"/>
        <v>9.4576560906855391</v>
      </c>
      <c r="V251" s="2">
        <f t="shared" si="25"/>
        <v>10.363079529778684</v>
      </c>
      <c r="W251" s="2">
        <v>0</v>
      </c>
      <c r="X251" s="2">
        <v>0</v>
      </c>
      <c r="Y251" s="2">
        <v>0</v>
      </c>
      <c r="Z251">
        <f t="shared" si="31"/>
        <v>0.22635585977328615</v>
      </c>
    </row>
    <row r="252" spans="1:26">
      <c r="A252" s="2" t="s">
        <v>13</v>
      </c>
      <c r="B252" s="2" t="s">
        <v>10</v>
      </c>
      <c r="C252" s="15" t="s">
        <v>32</v>
      </c>
      <c r="D252" s="16" t="s">
        <v>300</v>
      </c>
      <c r="E252" s="15"/>
      <c r="F252" s="17">
        <v>1728.2</v>
      </c>
      <c r="G252" s="17">
        <v>230.81249999999997</v>
      </c>
      <c r="H252" s="18">
        <v>0.127</v>
      </c>
      <c r="I252" s="19">
        <v>3.51</v>
      </c>
      <c r="J252" s="19">
        <v>2</v>
      </c>
      <c r="K252" s="19">
        <v>0.85</v>
      </c>
      <c r="L252" s="20">
        <v>26</v>
      </c>
      <c r="M252" s="28">
        <v>44.544320999999997</v>
      </c>
      <c r="N252" s="28">
        <v>11.382828</v>
      </c>
      <c r="O252" s="26">
        <f>IF(COUNTA(C252:N252),IF(LEFT(E$4,1)="C",ZenithAngle(M252,N252,D252,$I$4),L252),"---")</f>
        <v>26</v>
      </c>
      <c r="P252" s="26">
        <f t="shared" si="24"/>
        <v>0.85</v>
      </c>
      <c r="Q252" s="26">
        <f t="shared" si="26"/>
        <v>0.74952255320078087</v>
      </c>
      <c r="R252" s="26">
        <f t="shared" si="27"/>
        <v>0.13355659067237585</v>
      </c>
      <c r="S252" s="27">
        <f t="shared" si="28"/>
        <v>2.7952317585634447</v>
      </c>
      <c r="T252" s="2">
        <f t="shared" si="29"/>
        <v>0.86644340932762409</v>
      </c>
      <c r="U252" s="2">
        <f t="shared" si="30"/>
        <v>13.355659067237585</v>
      </c>
      <c r="V252" s="2">
        <f t="shared" si="25"/>
        <v>14.22210247656521</v>
      </c>
      <c r="W252" s="2">
        <v>0</v>
      </c>
      <c r="X252" s="2">
        <v>0</v>
      </c>
      <c r="Y252" s="2">
        <v>0</v>
      </c>
      <c r="Z252">
        <f t="shared" si="31"/>
        <v>0.21661085233190602</v>
      </c>
    </row>
    <row r="253" spans="1:26">
      <c r="A253" s="2" t="s">
        <v>13</v>
      </c>
      <c r="B253" s="2" t="s">
        <v>10</v>
      </c>
      <c r="C253" s="15" t="s">
        <v>32</v>
      </c>
      <c r="D253" s="16" t="s">
        <v>301</v>
      </c>
      <c r="E253" s="15"/>
      <c r="F253" s="17">
        <v>1665.7</v>
      </c>
      <c r="G253" s="17">
        <v>623.36249999999995</v>
      </c>
      <c r="H253" s="18">
        <v>0.127</v>
      </c>
      <c r="I253" s="19">
        <v>3.51</v>
      </c>
      <c r="J253" s="19">
        <v>2</v>
      </c>
      <c r="K253" s="19">
        <v>0.85</v>
      </c>
      <c r="L253" s="20">
        <v>26</v>
      </c>
      <c r="M253" s="28">
        <v>44.544320999999997</v>
      </c>
      <c r="N253" s="28">
        <v>11.382828</v>
      </c>
      <c r="O253" s="26">
        <f>IF(COUNTA(C253:N253),IF(LEFT(E$4,1)="C",ZenithAngle(M253,N253,D253,$I$4),L253),"---")</f>
        <v>26</v>
      </c>
      <c r="P253" s="26">
        <f t="shared" si="24"/>
        <v>0.85</v>
      </c>
      <c r="Q253" s="26">
        <f t="shared" si="26"/>
        <v>0.74952255320078087</v>
      </c>
      <c r="R253" s="26">
        <f t="shared" si="27"/>
        <v>0.37423455604250461</v>
      </c>
      <c r="S253" s="27">
        <f t="shared" si="28"/>
        <v>1.3646510847448745</v>
      </c>
      <c r="T253" s="2">
        <f t="shared" si="29"/>
        <v>0.62576544395749534</v>
      </c>
      <c r="U253" s="2">
        <f t="shared" si="30"/>
        <v>37.423455604250464</v>
      </c>
      <c r="V253" s="2">
        <f t="shared" si="25"/>
        <v>38.049221048207961</v>
      </c>
      <c r="W253" s="2">
        <v>0</v>
      </c>
      <c r="X253" s="2">
        <v>0</v>
      </c>
      <c r="Y253" s="2">
        <v>0</v>
      </c>
      <c r="Z253">
        <f t="shared" si="31"/>
        <v>0.15644136098937383</v>
      </c>
    </row>
    <row r="254" spans="1:26">
      <c r="A254" s="2" t="s">
        <v>13</v>
      </c>
      <c r="B254" s="2" t="s">
        <v>10</v>
      </c>
      <c r="C254" s="15" t="s">
        <v>32</v>
      </c>
      <c r="D254" s="16" t="s">
        <v>302</v>
      </c>
      <c r="E254" s="15"/>
      <c r="F254" s="17">
        <v>1691</v>
      </c>
      <c r="G254" s="17">
        <v>107.66249999999999</v>
      </c>
      <c r="H254" s="18">
        <v>0.127</v>
      </c>
      <c r="I254" s="19">
        <v>3.51</v>
      </c>
      <c r="J254" s="19">
        <v>2</v>
      </c>
      <c r="K254" s="19">
        <v>0.85</v>
      </c>
      <c r="L254" s="20">
        <v>26</v>
      </c>
      <c r="M254" s="28">
        <v>44.544320999999997</v>
      </c>
      <c r="N254" s="28">
        <v>11.382828</v>
      </c>
      <c r="O254" s="26">
        <f>IF(COUNTA(C254:N254),IF(LEFT(E$4,1)="C",ZenithAngle(M254,N254,D254,$I$4),L254),"---")</f>
        <v>26</v>
      </c>
      <c r="P254" s="26">
        <f t="shared" si="24"/>
        <v>0.85</v>
      </c>
      <c r="Q254" s="26">
        <f t="shared" si="26"/>
        <v>0.74952255320078087</v>
      </c>
      <c r="R254" s="26">
        <f t="shared" si="27"/>
        <v>6.36679479597871E-2</v>
      </c>
      <c r="S254" s="27">
        <f t="shared" si="28"/>
        <v>3.823842872775042</v>
      </c>
      <c r="T254" s="2">
        <f t="shared" si="29"/>
        <v>0.93633205204021286</v>
      </c>
      <c r="U254" s="2">
        <f t="shared" si="30"/>
        <v>6.3667947959787101</v>
      </c>
      <c r="V254" s="2">
        <f t="shared" si="25"/>
        <v>7.3031268480189233</v>
      </c>
      <c r="W254" s="2">
        <v>0</v>
      </c>
      <c r="X254" s="2">
        <v>0</v>
      </c>
      <c r="Y254" s="2">
        <v>0</v>
      </c>
      <c r="Z254">
        <f t="shared" si="31"/>
        <v>0.23408301301005321</v>
      </c>
    </row>
    <row r="255" spans="1:26">
      <c r="A255" s="2" t="s">
        <v>13</v>
      </c>
      <c r="B255" s="2" t="s">
        <v>10</v>
      </c>
      <c r="C255" s="15" t="s">
        <v>32</v>
      </c>
      <c r="D255" s="16" t="s">
        <v>303</v>
      </c>
      <c r="E255" s="15"/>
      <c r="F255" s="17">
        <v>1696.8</v>
      </c>
      <c r="G255" s="17">
        <v>78.887500000000003</v>
      </c>
      <c r="H255" s="18">
        <v>0.127</v>
      </c>
      <c r="I255" s="19">
        <v>3.51</v>
      </c>
      <c r="J255" s="19">
        <v>2</v>
      </c>
      <c r="K255" s="19">
        <v>0.85</v>
      </c>
      <c r="L255" s="20">
        <v>26</v>
      </c>
      <c r="M255" s="28">
        <v>44.544320999999997</v>
      </c>
      <c r="N255" s="28">
        <v>11.382828</v>
      </c>
      <c r="O255" s="26">
        <f>IF(COUNTA(C255:N255),IF(LEFT(E$4,1)="C",ZenithAngle(M255,N255,D255,$I$4),L255),"---")</f>
        <v>26</v>
      </c>
      <c r="P255" s="26">
        <f>IF(O255="---","---",IF(LEFT(E$5,1)="C",beamfraction(O255,F255),K255))</f>
        <v>0.85</v>
      </c>
      <c r="Q255" s="26">
        <f t="shared" si="26"/>
        <v>0.74952255320078087</v>
      </c>
      <c r="R255" s="26">
        <f t="shared" si="27"/>
        <v>4.6491925978312122E-2</v>
      </c>
      <c r="S255" s="27">
        <f t="shared" si="28"/>
        <v>4.2603693207541831</v>
      </c>
      <c r="T255" s="2">
        <f t="shared" si="29"/>
        <v>0.95350807402168791</v>
      </c>
      <c r="U255" s="2">
        <f t="shared" si="30"/>
        <v>4.6491925978312123</v>
      </c>
      <c r="V255" s="2">
        <f t="shared" si="25"/>
        <v>5.6027006718529</v>
      </c>
      <c r="W255" s="2">
        <v>0</v>
      </c>
      <c r="X255" s="2">
        <v>0</v>
      </c>
      <c r="Y255" s="2">
        <v>0</v>
      </c>
      <c r="Z255">
        <f t="shared" si="31"/>
        <v>0.23837701850542198</v>
      </c>
    </row>
    <row r="256" spans="1:26">
      <c r="A256" s="2" t="s">
        <v>13</v>
      </c>
      <c r="B256" s="2" t="s">
        <v>10</v>
      </c>
      <c r="C256" s="15" t="s">
        <v>32</v>
      </c>
      <c r="D256" s="16" t="s">
        <v>304</v>
      </c>
      <c r="E256" s="15"/>
      <c r="F256" s="17">
        <v>1703.9</v>
      </c>
      <c r="G256" s="17">
        <v>111.12500000000001</v>
      </c>
      <c r="H256" s="18">
        <v>0.127</v>
      </c>
      <c r="I256" s="19">
        <v>3.51</v>
      </c>
      <c r="J256" s="19">
        <v>2</v>
      </c>
      <c r="K256" s="19">
        <v>0.85</v>
      </c>
      <c r="L256" s="20">
        <v>26</v>
      </c>
      <c r="M256" s="28">
        <v>44.544320999999997</v>
      </c>
      <c r="N256" s="28">
        <v>11.382828</v>
      </c>
      <c r="O256" s="26">
        <f>IF(COUNTA(C256:N256),IF(LEFT(E$4,1)="C",ZenithAngle(M256,N256,D256,$I$4),L256),"---")</f>
        <v>26</v>
      </c>
      <c r="P256" s="26">
        <f>IF(O256="---","---",IF(LEFT(E$5,1)="C",beamfraction(O256,F256),K256))</f>
        <v>0.85</v>
      </c>
      <c r="Q256" s="26">
        <f t="shared" si="26"/>
        <v>0.74952255320078087</v>
      </c>
      <c r="R256" s="26">
        <f t="shared" si="27"/>
        <v>6.521802922706732E-2</v>
      </c>
      <c r="S256" s="27">
        <f t="shared" si="28"/>
        <v>3.7904445878027579</v>
      </c>
      <c r="T256" s="2">
        <f t="shared" si="29"/>
        <v>0.93478197077293268</v>
      </c>
      <c r="U256" s="2">
        <f t="shared" si="30"/>
        <v>6.5218029227067316</v>
      </c>
      <c r="V256" s="2">
        <f t="shared" si="25"/>
        <v>7.4565848934796639</v>
      </c>
      <c r="W256" s="2">
        <v>0</v>
      </c>
      <c r="X256" s="2">
        <v>0</v>
      </c>
      <c r="Y256" s="2">
        <v>0</v>
      </c>
      <c r="Z256">
        <f t="shared" si="31"/>
        <v>0.23369549269323317</v>
      </c>
    </row>
  </sheetData>
  <mergeCells count="2">
    <mergeCell ref="C2:N2"/>
    <mergeCell ref="O2:S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Facsimile</vt:lpstr>
      <vt:lpstr>all_data</vt:lpstr>
      <vt:lpstr>fruit_quality</vt:lpstr>
      <vt:lpstr>time (pruning, thinning, tying)</vt:lpstr>
      <vt:lpstr>pruning weight (2024)</vt:lpstr>
      <vt:lpstr>light_interception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Ansaloni - ivan.ansaloni@studio.unibo.it</dc:creator>
  <cp:lastModifiedBy>Ivan Ansaloni - ivan.ansaloni@studio.unibo.it</cp:lastModifiedBy>
  <dcterms:created xsi:type="dcterms:W3CDTF">2025-11-19T13:02:05Z</dcterms:created>
  <dcterms:modified xsi:type="dcterms:W3CDTF">2025-12-17T09:51:07Z</dcterms:modified>
</cp:coreProperties>
</file>